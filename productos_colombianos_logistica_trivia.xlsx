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roductos" sheetId="2" state="visible" r:id="rId4"/>
    <sheet name="Logística" sheetId="3" state="visible" r:id="rId5"/>
    <sheet name="Tiendas" sheetId="4" state="visible" r:id="rId6"/>
    <sheet name="Inventario" sheetId="5" state="visible" r:id="rId7"/>
    <sheet name="Trivia" sheetId="6" state="visible" r:id="rId8"/>
  </sheets>
  <definedNames>
    <definedName function="false" hidden="true" localSheetId="4" name="_xlnm._FilterDatabase" vbProcedure="false">Inventario!$A$1:$K$91</definedName>
    <definedName function="false" hidden="true" localSheetId="2" name="_xlnm._FilterDatabase" vbProcedure="false">Logística!$A$1:$S$31</definedName>
    <definedName function="false" hidden="true" localSheetId="1" name="_xlnm._FilterDatabase" vbProcedure="false">Productos!$A$1:$M$31</definedName>
    <definedName function="false" hidden="true" localSheetId="3" name="_xlnm._FilterDatabase" vbProcedure="false">Tiendas!$A$1:$J$12</definedName>
    <definedName function="false" hidden="true" localSheetId="5" name="_xlnm._FilterDatabase" vbProcedure="false">Trivia!$A$1:$K$167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<sst xmlns="http://schemas.openxmlformats.org/spreadsheetml/2006/main" count="2499" uniqueCount="1046">
  <si>
    <t xml:space="preserve">Base de datos de productos colombianos · Logística y trivia</t>
  </si>
  <si>
    <t xml:space="preserve">Datos referenciales/ilustrativos (precios, pesos, rutas, vida útil) pensados para un juego de tarjetas de trivia. Verifica los valores antes de usarlos como información comercial real.</t>
  </si>
  <si>
    <t xml:space="preserve">Indicadores</t>
  </si>
  <si>
    <t xml:space="preserve">Valor</t>
  </si>
  <si>
    <t xml:space="preserve">Cómo usar este archivo</t>
  </si>
  <si>
    <t xml:space="preserve">Productos registrados</t>
  </si>
  <si>
    <t xml:space="preserve">• Productos: ficha de cada producto (SKU, marca, medida, referencia, conservación, tipo, tamaño, origen), como en la tarjeta de ejemplo.</t>
  </si>
  <si>
    <t xml:space="preserve">Tiendas registradas</t>
  </si>
  <si>
    <t xml:space="preserve">• Logística: pesos, cajas, estibas, temperatura, vida útil, vehículo y ruta. Columnas con encabezado morado = fórmulas (no editar).</t>
  </si>
  <si>
    <t xml:space="preserve">Registros de inventario</t>
  </si>
  <si>
    <t xml:space="preserve">• Tiendas: cadenas y formatos, CD que las abastece, frecuencia de reabastecimiento y si tienen cuarto frío.</t>
  </si>
  <si>
    <t xml:space="preserve">Registros por reabastecer</t>
  </si>
  <si>
    <t xml:space="preserve">• Inventario: precio, stock y mínimo por tienda y producto. El estado y el valor se calculan solos.</t>
  </si>
  <si>
    <t xml:space="preserve">Valor total del inventario (COP)</t>
  </si>
  <si>
    <t xml:space="preserve">• Trivia: afirmaciones Verdadero/Falso con explicación, dificultad, puntos y SKU relacionado. Listas para importar a tu sistema de tarjetas.</t>
  </si>
  <si>
    <t xml:space="preserve">Productos con transporte controlado</t>
  </si>
  <si>
    <t xml:space="preserve">• Encabezado azul oscuro = datos que puedes editar. Encabezado morado = calculado por fórmula.</t>
  </si>
  <si>
    <t xml:space="preserve">Total de afirmaciones de trivia</t>
  </si>
  <si>
    <t xml:space="preserve">• Las afirmaciones de trivia son texto fijo creado a partir de estos datos: si cambias un dato, actualiza la afirmación que lo usa (ver columna «Fuente del dato»).</t>
  </si>
  <si>
    <t xml:space="preserve">  Verdaderas</t>
  </si>
  <si>
    <t xml:space="preserve">• Para sacar una tarjeta: usa 'Afirmación' como frente y 'Respuesta correcta' + 'Explicación' como reverso. Filtra por 'Activa' = Sí.</t>
  </si>
  <si>
    <t xml:space="preserve">  Falsas</t>
  </si>
  <si>
    <t xml:space="preserve">Afirmaciones por tema</t>
  </si>
  <si>
    <t xml:space="preserve">Cantidad</t>
  </si>
  <si>
    <t xml:space="preserve">Cadena de frío</t>
  </si>
  <si>
    <t xml:space="preserve">Paletizado y embalaje</t>
  </si>
  <si>
    <t xml:space="preserve">Vida útil y rotación</t>
  </si>
  <si>
    <t xml:space="preserve">Transporte y rutas</t>
  </si>
  <si>
    <t xml:space="preserve">Origen y producto</t>
  </si>
  <si>
    <t xml:space="preserve">Inventario en tienda</t>
  </si>
  <si>
    <t xml:space="preserve">Conceptos de logística</t>
  </si>
  <si>
    <t xml:space="preserve">Afirmaciones por dificultad</t>
  </si>
  <si>
    <t xml:space="preserve">Fácil</t>
  </si>
  <si>
    <t xml:space="preserve">Media</t>
  </si>
  <si>
    <t xml:space="preserve">Difícil</t>
  </si>
  <si>
    <t xml:space="preserve">SKU</t>
  </si>
  <si>
    <t xml:space="preserve">Producto</t>
  </si>
  <si>
    <t xml:space="preserve">Categoría</t>
  </si>
  <si>
    <t xml:space="preserve">Subcategoría</t>
  </si>
  <si>
    <t xml:space="preserve">Descripción</t>
  </si>
  <si>
    <t xml:space="preserve">Marca</t>
  </si>
  <si>
    <t xml:space="preserve">Medida</t>
  </si>
  <si>
    <t xml:space="preserve">Referencia</t>
  </si>
  <si>
    <t xml:space="preserve">Conservación</t>
  </si>
  <si>
    <t xml:space="preserve">Qué tipo es</t>
  </si>
  <si>
    <t xml:space="preserve">Tamaño</t>
  </si>
  <si>
    <t xml:space="preserve">Origen (dpto.)</t>
  </si>
  <si>
    <t xml:space="preserve">Emoji</t>
  </si>
  <si>
    <t xml:space="preserve">00219</t>
  </si>
  <si>
    <t xml:space="preserve">Banano premium</t>
  </si>
  <si>
    <t xml:space="preserve">Frutas y verduras</t>
  </si>
  <si>
    <t xml:space="preserve">Frescos</t>
  </si>
  <si>
    <t xml:space="preserve">Banano fresco seleccionado, fuente natural de energía.</t>
  </si>
  <si>
    <t xml:space="preserve">Frescura</t>
  </si>
  <si>
    <t xml:space="preserve">1 kg</t>
  </si>
  <si>
    <t xml:space="preserve">FRU-BA-001</t>
  </si>
  <si>
    <t xml:space="preserve">Temperatura ambiente</t>
  </si>
  <si>
    <t xml:space="preserve">Fruta fresca</t>
  </si>
  <si>
    <t xml:space="preserve">Antioquia (Urabá)</t>
  </si>
  <si>
    <t xml:space="preserve">🍌</t>
  </si>
  <si>
    <t xml:space="preserve">00220</t>
  </si>
  <si>
    <t xml:space="preserve">Aguacate Hass</t>
  </si>
  <si>
    <t xml:space="preserve">Aguacate Hass de pulpa cremosa, cosecha nacional.</t>
  </si>
  <si>
    <t xml:space="preserve">FRU-AG-002</t>
  </si>
  <si>
    <t xml:space="preserve">Bolsa 1 kg</t>
  </si>
  <si>
    <t xml:space="preserve">Antioquia</t>
  </si>
  <si>
    <t xml:space="preserve">🥑</t>
  </si>
  <si>
    <t xml:space="preserve">00221</t>
  </si>
  <si>
    <t xml:space="preserve">Papa criolla lavada</t>
  </si>
  <si>
    <t xml:space="preserve">Tubérculos</t>
  </si>
  <si>
    <t xml:space="preserve">Papa criolla amarilla lavada, lista para cocinar.</t>
  </si>
  <si>
    <t xml:space="preserve">500 g</t>
  </si>
  <si>
    <t xml:space="preserve">FRU-PC-003</t>
  </si>
  <si>
    <t xml:space="preserve">Lugar fresco y seco</t>
  </si>
  <si>
    <t xml:space="preserve">Tubérculo</t>
  </si>
  <si>
    <t xml:space="preserve">Bolsa 500 g</t>
  </si>
  <si>
    <t xml:space="preserve">Cundinamarca</t>
  </si>
  <si>
    <t xml:space="preserve">🥔</t>
  </si>
  <si>
    <t xml:space="preserve">00222</t>
  </si>
  <si>
    <t xml:space="preserve">Plátano hartón</t>
  </si>
  <si>
    <t xml:space="preserve">Plátano hartón verde, ideal para patacones y sancocho.</t>
  </si>
  <si>
    <t xml:space="preserve">FRU-PL-004</t>
  </si>
  <si>
    <t xml:space="preserve">Quindío</t>
  </si>
  <si>
    <t xml:space="preserve">00223</t>
  </si>
  <si>
    <t xml:space="preserve">Uchuva con capacho</t>
  </si>
  <si>
    <t xml:space="preserve">Uchuva fresca con capacho, dulce y ligeramente ácida.</t>
  </si>
  <si>
    <t xml:space="preserve">250 g</t>
  </si>
  <si>
    <t xml:space="preserve">FRU-UC-005</t>
  </si>
  <si>
    <t xml:space="preserve">Refrigerado 2–6 °C</t>
  </si>
  <si>
    <t xml:space="preserve">Canastilla 250 g</t>
  </si>
  <si>
    <t xml:space="preserve">🟠</t>
  </si>
  <si>
    <t xml:space="preserve">00224</t>
  </si>
  <si>
    <t xml:space="preserve">Lulo</t>
  </si>
  <si>
    <t xml:space="preserve">Lulo fresco, base de los jugos más típicos de Colombia.</t>
  </si>
  <si>
    <t xml:space="preserve">FRU-LU-006</t>
  </si>
  <si>
    <t xml:space="preserve">Refrigerado 7–10 °C</t>
  </si>
  <si>
    <t xml:space="preserve">Huila</t>
  </si>
  <si>
    <t xml:space="preserve">🍊</t>
  </si>
  <si>
    <t xml:space="preserve">00225</t>
  </si>
  <si>
    <t xml:space="preserve">Mango Tommy</t>
  </si>
  <si>
    <t xml:space="preserve">Mango Tommy de pulpa firme y dulce.</t>
  </si>
  <si>
    <t xml:space="preserve">FRU-MA-007</t>
  </si>
  <si>
    <t xml:space="preserve">Tolima</t>
  </si>
  <si>
    <t xml:space="preserve">🥭</t>
  </si>
  <si>
    <t xml:space="preserve">00226</t>
  </si>
  <si>
    <t xml:space="preserve">Cebolla cabezona blanca</t>
  </si>
  <si>
    <t xml:space="preserve">Hortalizas</t>
  </si>
  <si>
    <t xml:space="preserve">Cebolla cabezona blanca seleccionada.</t>
  </si>
  <si>
    <t xml:space="preserve">FRU-CE-008</t>
  </si>
  <si>
    <t xml:space="preserve">Hortaliza</t>
  </si>
  <si>
    <t xml:space="preserve">Malla 1 kg</t>
  </si>
  <si>
    <t xml:space="preserve">Boyacá</t>
  </si>
  <si>
    <t xml:space="preserve">🧅</t>
  </si>
  <si>
    <t xml:space="preserve">00227</t>
  </si>
  <si>
    <t xml:space="preserve">Leche entera pasteurizada</t>
  </si>
  <si>
    <t xml:space="preserve">Lácteos y refrigerados</t>
  </si>
  <si>
    <t xml:space="preserve">Leches</t>
  </si>
  <si>
    <t xml:space="preserve">Leche entera pasteurizada en bolsa.</t>
  </si>
  <si>
    <t xml:space="preserve">Colanta</t>
  </si>
  <si>
    <t xml:space="preserve">1 L</t>
  </si>
  <si>
    <t xml:space="preserve">LAC-LE-009</t>
  </si>
  <si>
    <t xml:space="preserve">Lácteo</t>
  </si>
  <si>
    <t xml:space="preserve">Bolsa 1 L</t>
  </si>
  <si>
    <t xml:space="preserve">🥛</t>
  </si>
  <si>
    <t xml:space="preserve">00228</t>
  </si>
  <si>
    <t xml:space="preserve">Yogurt entero</t>
  </si>
  <si>
    <t xml:space="preserve">Yogures</t>
  </si>
  <si>
    <t xml:space="preserve">Yogurt entero cremoso.</t>
  </si>
  <si>
    <t xml:space="preserve">Alpina</t>
  </si>
  <si>
    <t xml:space="preserve">LAC-YO-010</t>
  </si>
  <si>
    <t xml:space="preserve">00229</t>
  </si>
  <si>
    <t xml:space="preserve">Queso campesino</t>
  </si>
  <si>
    <t xml:space="preserve">Quesos</t>
  </si>
  <si>
    <t xml:space="preserve">Queso campesino fresco, suave y de sabor lácteo.</t>
  </si>
  <si>
    <t xml:space="preserve">LAC-QU-011</t>
  </si>
  <si>
    <t xml:space="preserve">Bloque 500 g</t>
  </si>
  <si>
    <t xml:space="preserve">🧀</t>
  </si>
  <si>
    <t xml:space="preserve">00230</t>
  </si>
  <si>
    <t xml:space="preserve">Salchichas tipo Viena</t>
  </si>
  <si>
    <t xml:space="preserve">Carnes y embutidos</t>
  </si>
  <si>
    <t xml:space="preserve">Embutidos</t>
  </si>
  <si>
    <t xml:space="preserve">Salchichas tipo Viena empacadas al vacío.</t>
  </si>
  <si>
    <t xml:space="preserve">Zenú</t>
  </si>
  <si>
    <t xml:space="preserve">450 g</t>
  </si>
  <si>
    <t xml:space="preserve">CAR-SA-012</t>
  </si>
  <si>
    <t xml:space="preserve">Refrigerado 0–4 °C</t>
  </si>
  <si>
    <t xml:space="preserve">Cárnico procesado</t>
  </si>
  <si>
    <t xml:space="preserve">Paquete 450 g</t>
  </si>
  <si>
    <t xml:space="preserve">🌭</t>
  </si>
  <si>
    <t xml:space="preserve">00231</t>
  </si>
  <si>
    <t xml:space="preserve">Pulpa de mora congelada</t>
  </si>
  <si>
    <t xml:space="preserve">Congelados</t>
  </si>
  <si>
    <t xml:space="preserve">Pulpas</t>
  </si>
  <si>
    <t xml:space="preserve">Pulpa de mora de Castilla sin azúcar, congelada.</t>
  </si>
  <si>
    <t xml:space="preserve">CON-MO-013</t>
  </si>
  <si>
    <t xml:space="preserve">Congelado -18 °C</t>
  </si>
  <si>
    <t xml:space="preserve">Fruta congelada</t>
  </si>
  <si>
    <t xml:space="preserve">Santander</t>
  </si>
  <si>
    <t xml:space="preserve">🫐</t>
  </si>
  <si>
    <t xml:space="preserve">00232</t>
  </si>
  <si>
    <t xml:space="preserve">Arroz blanco</t>
  </si>
  <si>
    <t xml:space="preserve">Despensa</t>
  </si>
  <si>
    <t xml:space="preserve">Granos</t>
  </si>
  <si>
    <t xml:space="preserve">Arroz blanco de grano largo.</t>
  </si>
  <si>
    <t xml:space="preserve">Diana</t>
  </si>
  <si>
    <t xml:space="preserve">DES-AR-014</t>
  </si>
  <si>
    <t xml:space="preserve">Grano</t>
  </si>
  <si>
    <t xml:space="preserve">🍚</t>
  </si>
  <si>
    <t xml:space="preserve">00233</t>
  </si>
  <si>
    <t xml:space="preserve">Panela cuadrada</t>
  </si>
  <si>
    <t xml:space="preserve">Endulzantes</t>
  </si>
  <si>
    <t xml:space="preserve">Panela cuadrada de caña, endulzante natural.</t>
  </si>
  <si>
    <t xml:space="preserve">DES-PA-015</t>
  </si>
  <si>
    <t xml:space="preserve">Endulzante natural</t>
  </si>
  <si>
    <t xml:space="preserve">Paquete 1 kg</t>
  </si>
  <si>
    <t xml:space="preserve">🟤</t>
  </si>
  <si>
    <t xml:space="preserve">00234</t>
  </si>
  <si>
    <t xml:space="preserve">Café tostado y molido</t>
  </si>
  <si>
    <t xml:space="preserve">Café</t>
  </si>
  <si>
    <t xml:space="preserve">Café 100 % colombiano tostado y molido.</t>
  </si>
  <si>
    <t xml:space="preserve">Juan Valdez</t>
  </si>
  <si>
    <t xml:space="preserve">340 g</t>
  </si>
  <si>
    <t xml:space="preserve">DES-CA-016</t>
  </si>
  <si>
    <t xml:space="preserve">Café tostado</t>
  </si>
  <si>
    <t xml:space="preserve">Bolsa 340 g</t>
  </si>
  <si>
    <t xml:space="preserve">☕</t>
  </si>
  <si>
    <t xml:space="preserve">00235</t>
  </si>
  <si>
    <t xml:space="preserve">Café instantáneo clásico</t>
  </si>
  <si>
    <t xml:space="preserve">Café soluble clásico.</t>
  </si>
  <si>
    <t xml:space="preserve">Colcafé</t>
  </si>
  <si>
    <t xml:space="preserve">170 g</t>
  </si>
  <si>
    <t xml:space="preserve">DES-CI-017</t>
  </si>
  <si>
    <t xml:space="preserve">Café instantáneo</t>
  </si>
  <si>
    <t xml:space="preserve">Frasco 170 g</t>
  </si>
  <si>
    <t xml:space="preserve">00236</t>
  </si>
  <si>
    <t xml:space="preserve">Chocolate de mesa</t>
  </si>
  <si>
    <t xml:space="preserve">Chocolates</t>
  </si>
  <si>
    <t xml:space="preserve">Chocolate de mesa tradicional para preparar en leche.</t>
  </si>
  <si>
    <t xml:space="preserve">Corona</t>
  </si>
  <si>
    <t xml:space="preserve">DES-CH-018</t>
  </si>
  <si>
    <t xml:space="preserve">Paquete 500 g</t>
  </si>
  <si>
    <t xml:space="preserve">🍫</t>
  </si>
  <si>
    <t xml:space="preserve">00237</t>
  </si>
  <si>
    <t xml:space="preserve">Aceite de girasol</t>
  </si>
  <si>
    <t xml:space="preserve">Aceites</t>
  </si>
  <si>
    <t xml:space="preserve">Aceite vegetal de girasol.</t>
  </si>
  <si>
    <t xml:space="preserve">Gourmet</t>
  </si>
  <si>
    <t xml:space="preserve">900 ml</t>
  </si>
  <si>
    <t xml:space="preserve">DES-AC-019</t>
  </si>
  <si>
    <t xml:space="preserve">Aceite vegetal</t>
  </si>
  <si>
    <t xml:space="preserve">Botella 900 ml</t>
  </si>
  <si>
    <t xml:space="preserve">Valle del Cauca</t>
  </si>
  <si>
    <t xml:space="preserve">🫒</t>
  </si>
  <si>
    <t xml:space="preserve">00238</t>
  </si>
  <si>
    <t xml:space="preserve">Fríjol cargamanto</t>
  </si>
  <si>
    <t xml:space="preserve">Fríjol cargamanto rojo seleccionado.</t>
  </si>
  <si>
    <t xml:space="preserve">DES-FR-020</t>
  </si>
  <si>
    <t xml:space="preserve">Leguminosa</t>
  </si>
  <si>
    <t xml:space="preserve">🫘</t>
  </si>
  <si>
    <t xml:space="preserve">00239</t>
  </si>
  <si>
    <t xml:space="preserve">Bocadillo veleño</t>
  </si>
  <si>
    <t xml:space="preserve">Dulces típicos</t>
  </si>
  <si>
    <t xml:space="preserve">Bocadillo veleño de guayaba en hoja de bijao.</t>
  </si>
  <si>
    <t xml:space="preserve">10 unidades</t>
  </si>
  <si>
    <t xml:space="preserve">DES-BO-021</t>
  </si>
  <si>
    <t xml:space="preserve">Dulce típico</t>
  </si>
  <si>
    <t xml:space="preserve">Paquete x 10</t>
  </si>
  <si>
    <t xml:space="preserve">🍬</t>
  </si>
  <si>
    <t xml:space="preserve">00240</t>
  </si>
  <si>
    <t xml:space="preserve">Arequipe</t>
  </si>
  <si>
    <t xml:space="preserve">Arequipe cremoso de leche.</t>
  </si>
  <si>
    <t xml:space="preserve">DES-AQ-022</t>
  </si>
  <si>
    <t xml:space="preserve">Dulce de leche</t>
  </si>
  <si>
    <t xml:space="preserve">Frasco 250 g</t>
  </si>
  <si>
    <t xml:space="preserve">🍯</t>
  </si>
  <si>
    <t xml:space="preserve">00241</t>
  </si>
  <si>
    <t xml:space="preserve">Huevos AA</t>
  </si>
  <si>
    <t xml:space="preserve">Huevos</t>
  </si>
  <si>
    <t xml:space="preserve">Huevos frescos tipo AA.</t>
  </si>
  <si>
    <t xml:space="preserve">30 unidades</t>
  </si>
  <si>
    <t xml:space="preserve">DES-HU-023</t>
  </si>
  <si>
    <t xml:space="preserve">Huevo fresco</t>
  </si>
  <si>
    <t xml:space="preserve">Bandeja x 30</t>
  </si>
  <si>
    <t xml:space="preserve">🥚</t>
  </si>
  <si>
    <t xml:space="preserve">00242</t>
  </si>
  <si>
    <t xml:space="preserve">Gaseosa Colombiana</t>
  </si>
  <si>
    <t xml:space="preserve">Bebidas</t>
  </si>
  <si>
    <t xml:space="preserve">Gaseosas</t>
  </si>
  <si>
    <t xml:space="preserve">Gaseosa sabor Colombiana.</t>
  </si>
  <si>
    <t xml:space="preserve">Postobón</t>
  </si>
  <si>
    <t xml:space="preserve">1.5 L</t>
  </si>
  <si>
    <t xml:space="preserve">BEB-CO-024</t>
  </si>
  <si>
    <t xml:space="preserve">Gaseosa</t>
  </si>
  <si>
    <t xml:space="preserve">Botella 1.5 L</t>
  </si>
  <si>
    <t xml:space="preserve">🥤</t>
  </si>
  <si>
    <t xml:space="preserve">00243</t>
  </si>
  <si>
    <t xml:space="preserve">Aguardiente tradicional</t>
  </si>
  <si>
    <t xml:space="preserve">Licores</t>
  </si>
  <si>
    <t xml:space="preserve">Aguardiente anisado tradicional.</t>
  </si>
  <si>
    <t xml:space="preserve">Antioqueño</t>
  </si>
  <si>
    <t xml:space="preserve">750 ml</t>
  </si>
  <si>
    <t xml:space="preserve">BEB-AG-025</t>
  </si>
  <si>
    <t xml:space="preserve">Licor</t>
  </si>
  <si>
    <t xml:space="preserve">Botella 750 ml</t>
  </si>
  <si>
    <t xml:space="preserve">🥃</t>
  </si>
  <si>
    <t xml:space="preserve">00244</t>
  </si>
  <si>
    <t xml:space="preserve">Bon Bon Bum surtido</t>
  </si>
  <si>
    <t xml:space="preserve">Dulces y snacks</t>
  </si>
  <si>
    <t xml:space="preserve">Confitería</t>
  </si>
  <si>
    <t xml:space="preserve">Bon Bon Bum, caramelo con chicle, surtido de sabores.</t>
  </si>
  <si>
    <t xml:space="preserve">Colombina</t>
  </si>
  <si>
    <t xml:space="preserve">24 unidades</t>
  </si>
  <si>
    <t xml:space="preserve">DUL-BB-026</t>
  </si>
  <si>
    <t xml:space="preserve">Bolsa x 24</t>
  </si>
  <si>
    <t xml:space="preserve">🍭</t>
  </si>
  <si>
    <t xml:space="preserve">00245</t>
  </si>
  <si>
    <t xml:space="preserve">Chocolatina Jet</t>
  </si>
  <si>
    <t xml:space="preserve">Chocolatinas</t>
  </si>
  <si>
    <t xml:space="preserve">Chocolatina de leche en presentación individual.</t>
  </si>
  <si>
    <t xml:space="preserve">Jet</t>
  </si>
  <si>
    <t xml:space="preserve">DUL-JE-027</t>
  </si>
  <si>
    <t xml:space="preserve">Chocolatina</t>
  </si>
  <si>
    <t xml:space="preserve">Caja x 24</t>
  </si>
  <si>
    <t xml:space="preserve">00246</t>
  </si>
  <si>
    <t xml:space="preserve">Papas fritas sabor pollo</t>
  </si>
  <si>
    <t xml:space="preserve">Snacks</t>
  </si>
  <si>
    <t xml:space="preserve">Papas fritas sabor pollo.</t>
  </si>
  <si>
    <t xml:space="preserve">Margarita</t>
  </si>
  <si>
    <t xml:space="preserve">105 g</t>
  </si>
  <si>
    <t xml:space="preserve">DUL-PA-028</t>
  </si>
  <si>
    <t xml:space="preserve">Snack salado</t>
  </si>
  <si>
    <t xml:space="preserve">Bolsa 105 g</t>
  </si>
  <si>
    <t xml:space="preserve">00247</t>
  </si>
  <si>
    <t xml:space="preserve">Galletas Saltín</t>
  </si>
  <si>
    <t xml:space="preserve">Galletas</t>
  </si>
  <si>
    <t xml:space="preserve">Galletas saltín crocantes.</t>
  </si>
  <si>
    <t xml:space="preserve">Noel</t>
  </si>
  <si>
    <t xml:space="preserve">6 tacos</t>
  </si>
  <si>
    <t xml:space="preserve">DUL-SA-029</t>
  </si>
  <si>
    <t xml:space="preserve">Galleta salada</t>
  </si>
  <si>
    <t xml:space="preserve">Paquete x 6</t>
  </si>
  <si>
    <t xml:space="preserve">🍘</t>
  </si>
  <si>
    <t xml:space="preserve">00248</t>
  </si>
  <si>
    <t xml:space="preserve">Papel higiénico</t>
  </si>
  <si>
    <t xml:space="preserve">Hogar y aseo</t>
  </si>
  <si>
    <t xml:space="preserve">Aseo personal</t>
  </si>
  <si>
    <t xml:space="preserve">Papel higiénico de doble hoja.</t>
  </si>
  <si>
    <t xml:space="preserve">Familia</t>
  </si>
  <si>
    <t xml:space="preserve">12 rollos</t>
  </si>
  <si>
    <t xml:space="preserve">HOG-PH-030</t>
  </si>
  <si>
    <t xml:space="preserve">Paquete x 12</t>
  </si>
  <si>
    <t xml:space="preserve">🧻</t>
  </si>
  <si>
    <t xml:space="preserve">Peso unitario (kg)</t>
  </si>
  <si>
    <t xml:space="preserve">Unidades por caja</t>
  </si>
  <si>
    <t xml:space="preserve">Peso por caja (kg)</t>
  </si>
  <si>
    <t xml:space="preserve">Cajas por estiba</t>
  </si>
  <si>
    <t xml:space="preserve">Unidades por estiba</t>
  </si>
  <si>
    <t xml:space="preserve">Peso neto por estiba (kg)</t>
  </si>
  <si>
    <t xml:space="preserve">Embalaje</t>
  </si>
  <si>
    <t xml:space="preserve">Transporte con temp. controlada</t>
  </si>
  <si>
    <t xml:space="preserve">Temp. mín (°C)</t>
  </si>
  <si>
    <t xml:space="preserve">Temp. máx (°C)</t>
  </si>
  <si>
    <t xml:space="preserve">Vida útil (días)</t>
  </si>
  <si>
    <t xml:space="preserve">Vehículo típico</t>
  </si>
  <si>
    <t xml:space="preserve">Origen de despacho</t>
  </si>
  <si>
    <t xml:space="preserve">CD destino</t>
  </si>
  <si>
    <t xml:space="preserve">Distancia aprox. (km)</t>
  </si>
  <si>
    <t xml:space="preserve">Tránsito aprox. (h)</t>
  </si>
  <si>
    <t xml:space="preserve">Máx. niveles apilables</t>
  </si>
  <si>
    <t xml:space="preserve">Caja de cartón ventilada</t>
  </si>
  <si>
    <t xml:space="preserve">Sí</t>
  </si>
  <si>
    <t xml:space="preserve">Tractomula refrigerada</t>
  </si>
  <si>
    <t xml:space="preserve">Apartadó</t>
  </si>
  <si>
    <t xml:space="preserve">CD Medellín</t>
  </si>
  <si>
    <t xml:space="preserve">Camión refrigerado</t>
  </si>
  <si>
    <t xml:space="preserve">Jardín</t>
  </si>
  <si>
    <t xml:space="preserve">Caja plástica</t>
  </si>
  <si>
    <t xml:space="preserve">Furgón seco</t>
  </si>
  <si>
    <t xml:space="preserve">Zipaquirá</t>
  </si>
  <si>
    <t xml:space="preserve">CD Bogotá</t>
  </si>
  <si>
    <t xml:space="preserve">Armenia</t>
  </si>
  <si>
    <t xml:space="preserve">CD Cali</t>
  </si>
  <si>
    <t xml:space="preserve">Canastilla plástica</t>
  </si>
  <si>
    <t xml:space="preserve">Fusagasugá</t>
  </si>
  <si>
    <t xml:space="preserve">Neiva</t>
  </si>
  <si>
    <t xml:space="preserve">Espinal</t>
  </si>
  <si>
    <t xml:space="preserve">Malla en bulto</t>
  </si>
  <si>
    <t xml:space="preserve">No</t>
  </si>
  <si>
    <t xml:space="preserve">Tunja</t>
  </si>
  <si>
    <t xml:space="preserve">Canasta plástica</t>
  </si>
  <si>
    <t xml:space="preserve">Medellín</t>
  </si>
  <si>
    <t xml:space="preserve">Sopó</t>
  </si>
  <si>
    <t xml:space="preserve">Caja de cartón</t>
  </si>
  <si>
    <t xml:space="preserve">CD Barranquilla</t>
  </si>
  <si>
    <t xml:space="preserve">Caja de cartón encerada</t>
  </si>
  <si>
    <t xml:space="preserve">Camión congelador</t>
  </si>
  <si>
    <t xml:space="preserve">Bucaramanga</t>
  </si>
  <si>
    <t xml:space="preserve">Bulto de polipropileno</t>
  </si>
  <si>
    <t xml:space="preserve">Tractomula con furgón seco</t>
  </si>
  <si>
    <t xml:space="preserve">Ibagué</t>
  </si>
  <si>
    <t xml:space="preserve">Villeta</t>
  </si>
  <si>
    <t xml:space="preserve">Cali</t>
  </si>
  <si>
    <t xml:space="preserve">Marinilla</t>
  </si>
  <si>
    <t xml:space="preserve">Vélez</t>
  </si>
  <si>
    <t xml:space="preserve">Cubeta de cartón</t>
  </si>
  <si>
    <t xml:space="preserve">Termoencogible</t>
  </si>
  <si>
    <t xml:space="preserve">CD Cartagena</t>
  </si>
  <si>
    <t xml:space="preserve">Caja de cartón con divisores</t>
  </si>
  <si>
    <t xml:space="preserve">Envigado</t>
  </si>
  <si>
    <t xml:space="preserve">La Paila</t>
  </si>
  <si>
    <t xml:space="preserve">N/A</t>
  </si>
  <si>
    <t xml:space="preserve">ID tienda</t>
  </si>
  <si>
    <t xml:space="preserve">Tienda</t>
  </si>
  <si>
    <t xml:space="preserve">Cadena</t>
  </si>
  <si>
    <t xml:space="preserve">Formato</t>
  </si>
  <si>
    <t xml:space="preserve">Ciudad</t>
  </si>
  <si>
    <t xml:space="preserve">Departamento</t>
  </si>
  <si>
    <t xml:space="preserve">CD que abastece</t>
  </si>
  <si>
    <t xml:space="preserve">Tiempo desde CD (h)</t>
  </si>
  <si>
    <t xml:space="preserve">Frecuencia de reabastecimiento</t>
  </si>
  <si>
    <t xml:space="preserve">Cuarto frío en bodega</t>
  </si>
  <si>
    <t xml:space="preserve">T01</t>
  </si>
  <si>
    <t xml:space="preserve">Éxito Medellín</t>
  </si>
  <si>
    <t xml:space="preserve">Éxito</t>
  </si>
  <si>
    <t xml:space="preserve">Hipermercado</t>
  </si>
  <si>
    <t xml:space="preserve">Diaria</t>
  </si>
  <si>
    <t xml:space="preserve">T02</t>
  </si>
  <si>
    <t xml:space="preserve">Jumbo Bogotá</t>
  </si>
  <si>
    <t xml:space="preserve">Jumbo</t>
  </si>
  <si>
    <t xml:space="preserve">Bogotá D.C.</t>
  </si>
  <si>
    <t xml:space="preserve">T03</t>
  </si>
  <si>
    <t xml:space="preserve">Carulla Bogotá</t>
  </si>
  <si>
    <t xml:space="preserve">Carulla</t>
  </si>
  <si>
    <t xml:space="preserve">Supermercado premium</t>
  </si>
  <si>
    <t xml:space="preserve">T04</t>
  </si>
  <si>
    <t xml:space="preserve">Olímpica Barranquilla</t>
  </si>
  <si>
    <t xml:space="preserve">Olímpica</t>
  </si>
  <si>
    <t xml:space="preserve">Supermercado</t>
  </si>
  <si>
    <t xml:space="preserve">Barranquilla</t>
  </si>
  <si>
    <t xml:space="preserve">Atlántico</t>
  </si>
  <si>
    <t xml:space="preserve">T05</t>
  </si>
  <si>
    <t xml:space="preserve">D1 Cali</t>
  </si>
  <si>
    <t xml:space="preserve">D1</t>
  </si>
  <si>
    <t xml:space="preserve">Tienda de descuento</t>
  </si>
  <si>
    <t xml:space="preserve">Cada 2 días</t>
  </si>
  <si>
    <t xml:space="preserve">T06</t>
  </si>
  <si>
    <t xml:space="preserve">Ara Medellín</t>
  </si>
  <si>
    <t xml:space="preserve">Ara</t>
  </si>
  <si>
    <t xml:space="preserve">T07</t>
  </si>
  <si>
    <t xml:space="preserve">Makro Cali</t>
  </si>
  <si>
    <t xml:space="preserve">Makro</t>
  </si>
  <si>
    <t xml:space="preserve">Mayorista</t>
  </si>
  <si>
    <t xml:space="preserve">Semanal</t>
  </si>
  <si>
    <t xml:space="preserve">T08</t>
  </si>
  <si>
    <t xml:space="preserve">Justo &amp; Bueno Bogotá</t>
  </si>
  <si>
    <t xml:space="preserve">Justo &amp; Bueno</t>
  </si>
  <si>
    <t xml:space="preserve">T09</t>
  </si>
  <si>
    <t xml:space="preserve">Surtimax Bucaramanga</t>
  </si>
  <si>
    <t xml:space="preserve">Surtimax</t>
  </si>
  <si>
    <t xml:space="preserve">T10</t>
  </si>
  <si>
    <t xml:space="preserve">Éxito Cartagena</t>
  </si>
  <si>
    <t xml:space="preserve">Cartagena</t>
  </si>
  <si>
    <t xml:space="preserve">Bolívar</t>
  </si>
  <si>
    <t xml:space="preserve">T11</t>
  </si>
  <si>
    <t xml:space="preserve">Tienda de barrio Bogotá</t>
  </si>
  <si>
    <t xml:space="preserve">Tienda de barrio</t>
  </si>
  <si>
    <t xml:space="preserve">Tienda tradicional</t>
  </si>
  <si>
    <t xml:space="preserve">ID</t>
  </si>
  <si>
    <t xml:space="preserve">Precio (COP)</t>
  </si>
  <si>
    <t xml:space="preserve">Stock (und)</t>
  </si>
  <si>
    <t xml:space="preserve">Stock mínimo (und)</t>
  </si>
  <si>
    <t xml:space="preserve">Estado</t>
  </si>
  <si>
    <t xml:space="preserve">Valor inventario (COP)</t>
  </si>
  <si>
    <t xml:space="preserve">INV001</t>
  </si>
  <si>
    <t xml:space="preserve">INV002</t>
  </si>
  <si>
    <t xml:space="preserve">INV003</t>
  </si>
  <si>
    <t xml:space="preserve">INV004</t>
  </si>
  <si>
    <t xml:space="preserve">INV005</t>
  </si>
  <si>
    <t xml:space="preserve">INV006</t>
  </si>
  <si>
    <t xml:space="preserve">INV007</t>
  </si>
  <si>
    <t xml:space="preserve">INV008</t>
  </si>
  <si>
    <t xml:space="preserve">INV009</t>
  </si>
  <si>
    <t xml:space="preserve">INV010</t>
  </si>
  <si>
    <t xml:space="preserve">INV011</t>
  </si>
  <si>
    <t xml:space="preserve">INV012</t>
  </si>
  <si>
    <t xml:space="preserve">INV013</t>
  </si>
  <si>
    <t xml:space="preserve">INV014</t>
  </si>
  <si>
    <t xml:space="preserve">INV015</t>
  </si>
  <si>
    <t xml:space="preserve">INV016</t>
  </si>
  <si>
    <t xml:space="preserve">INV017</t>
  </si>
  <si>
    <t xml:space="preserve">INV018</t>
  </si>
  <si>
    <t xml:space="preserve">INV019</t>
  </si>
  <si>
    <t xml:space="preserve">INV020</t>
  </si>
  <si>
    <t xml:space="preserve">INV021</t>
  </si>
  <si>
    <t xml:space="preserve">INV022</t>
  </si>
  <si>
    <t xml:space="preserve">INV023</t>
  </si>
  <si>
    <t xml:space="preserve">INV024</t>
  </si>
  <si>
    <t xml:space="preserve">INV025</t>
  </si>
  <si>
    <t xml:space="preserve">INV026</t>
  </si>
  <si>
    <t xml:space="preserve">INV027</t>
  </si>
  <si>
    <t xml:space="preserve">INV028</t>
  </si>
  <si>
    <t xml:space="preserve">INV029</t>
  </si>
  <si>
    <t xml:space="preserve">INV030</t>
  </si>
  <si>
    <t xml:space="preserve">INV031</t>
  </si>
  <si>
    <t xml:space="preserve">INV032</t>
  </si>
  <si>
    <t xml:space="preserve">INV033</t>
  </si>
  <si>
    <t xml:space="preserve">INV034</t>
  </si>
  <si>
    <t xml:space="preserve">INV035</t>
  </si>
  <si>
    <t xml:space="preserve">INV036</t>
  </si>
  <si>
    <t xml:space="preserve">INV037</t>
  </si>
  <si>
    <t xml:space="preserve">INV038</t>
  </si>
  <si>
    <t xml:space="preserve">INV039</t>
  </si>
  <si>
    <t xml:space="preserve">INV040</t>
  </si>
  <si>
    <t xml:space="preserve">INV041</t>
  </si>
  <si>
    <t xml:space="preserve">INV042</t>
  </si>
  <si>
    <t xml:space="preserve">INV043</t>
  </si>
  <si>
    <t xml:space="preserve">INV044</t>
  </si>
  <si>
    <t xml:space="preserve">INV045</t>
  </si>
  <si>
    <t xml:space="preserve">INV046</t>
  </si>
  <si>
    <t xml:space="preserve">INV047</t>
  </si>
  <si>
    <t xml:space="preserve">INV048</t>
  </si>
  <si>
    <t xml:space="preserve">INV049</t>
  </si>
  <si>
    <t xml:space="preserve">INV050</t>
  </si>
  <si>
    <t xml:space="preserve">INV051</t>
  </si>
  <si>
    <t xml:space="preserve">INV052</t>
  </si>
  <si>
    <t xml:space="preserve">INV053</t>
  </si>
  <si>
    <t xml:space="preserve">INV054</t>
  </si>
  <si>
    <t xml:space="preserve">INV055</t>
  </si>
  <si>
    <t xml:space="preserve">INV056</t>
  </si>
  <si>
    <t xml:space="preserve">INV057</t>
  </si>
  <si>
    <t xml:space="preserve">INV058</t>
  </si>
  <si>
    <t xml:space="preserve">INV059</t>
  </si>
  <si>
    <t xml:space="preserve">INV060</t>
  </si>
  <si>
    <t xml:space="preserve">INV061</t>
  </si>
  <si>
    <t xml:space="preserve">INV062</t>
  </si>
  <si>
    <t xml:space="preserve">INV063</t>
  </si>
  <si>
    <t xml:space="preserve">INV064</t>
  </si>
  <si>
    <t xml:space="preserve">INV065</t>
  </si>
  <si>
    <t xml:space="preserve">INV066</t>
  </si>
  <si>
    <t xml:space="preserve">INV067</t>
  </si>
  <si>
    <t xml:space="preserve">INV068</t>
  </si>
  <si>
    <t xml:space="preserve">INV069</t>
  </si>
  <si>
    <t xml:space="preserve">INV070</t>
  </si>
  <si>
    <t xml:space="preserve">INV071</t>
  </si>
  <si>
    <t xml:space="preserve">INV072</t>
  </si>
  <si>
    <t xml:space="preserve">INV073</t>
  </si>
  <si>
    <t xml:space="preserve">INV074</t>
  </si>
  <si>
    <t xml:space="preserve">INV075</t>
  </si>
  <si>
    <t xml:space="preserve">INV076</t>
  </si>
  <si>
    <t xml:space="preserve">INV077</t>
  </si>
  <si>
    <t xml:space="preserve">INV078</t>
  </si>
  <si>
    <t xml:space="preserve">INV079</t>
  </si>
  <si>
    <t xml:space="preserve">INV080</t>
  </si>
  <si>
    <t xml:space="preserve">INV081</t>
  </si>
  <si>
    <t xml:space="preserve">INV082</t>
  </si>
  <si>
    <t xml:space="preserve">INV083</t>
  </si>
  <si>
    <t xml:space="preserve">INV084</t>
  </si>
  <si>
    <t xml:space="preserve">INV085</t>
  </si>
  <si>
    <t xml:space="preserve">INV086</t>
  </si>
  <si>
    <t xml:space="preserve">INV087</t>
  </si>
  <si>
    <t xml:space="preserve">INV088</t>
  </si>
  <si>
    <t xml:space="preserve">INV089</t>
  </si>
  <si>
    <t xml:space="preserve">INV090</t>
  </si>
  <si>
    <t xml:space="preserve">Tema</t>
  </si>
  <si>
    <t xml:space="preserve">Afirmación</t>
  </si>
  <si>
    <t xml:space="preserve">Respuesta correcta</t>
  </si>
  <si>
    <t xml:space="preserve">Explicación (se muestra al responder)</t>
  </si>
  <si>
    <t xml:space="preserve">Dificultad</t>
  </si>
  <si>
    <t xml:space="preserve">SKU relacionado</t>
  </si>
  <si>
    <t xml:space="preserve">Producto relacionado</t>
  </si>
  <si>
    <t xml:space="preserve">Fuente del dato</t>
  </si>
  <si>
    <t xml:space="preserve">Puntos</t>
  </si>
  <si>
    <t xml:space="preserve">Activa</t>
  </si>
  <si>
    <t xml:space="preserve">TRV001</t>
  </si>
  <si>
    <t xml:space="preserve">La conservación recomendada de «Plátano hartón» es: congelado -18 °C.</t>
  </si>
  <si>
    <t xml:space="preserve">Falso</t>
  </si>
  <si>
    <t xml:space="preserve">Falso: la conservación recomendada de «Plátano hartón» es temperatura ambiente.</t>
  </si>
  <si>
    <t xml:space="preserve">Productos · Conservación</t>
  </si>
  <si>
    <t xml:space="preserve">TRV002</t>
  </si>
  <si>
    <t xml:space="preserve">«Arequipe» se despacha desde Sopó hacia el CD Cali.</t>
  </si>
  <si>
    <t xml:space="preserve">Falso: «Arequipe» sale de Sopó hacia el CD Medellín (~430 km).</t>
  </si>
  <si>
    <t xml:space="preserve">Logística · Origen de despacho y CD destino</t>
  </si>
  <si>
    <t xml:space="preserve">TRV003</t>
  </si>
  <si>
    <t xml:space="preserve">Para transportar «Queso campesino» (Colanta) se debe mantener una temperatura entre 2 °C y 6 °C.</t>
  </si>
  <si>
    <t xml:space="preserve">Verdadero</t>
  </si>
  <si>
    <t xml:space="preserve">Verdadero: el rango de transporte de «Queso campesino» es de 2 °C a 6 °C.</t>
  </si>
  <si>
    <t xml:space="preserve">Logística · Temp. transporte mín/máx</t>
  </si>
  <si>
    <t xml:space="preserve">TRV004</t>
  </si>
  <si>
    <t xml:space="preserve">«Papel higiénico» (Familia) debe transportarse congelado a -18 °C.</t>
  </si>
  <si>
    <t xml:space="preserve">Falso: «Papel higiénico» se transporta en condiciones secas/ambiente (15–30 °C), sin cadena de frío.</t>
  </si>
  <si>
    <t xml:space="preserve">Logística · Transporte con temp. controlada</t>
  </si>
  <si>
    <t xml:space="preserve">TRV005</t>
  </si>
  <si>
    <t xml:space="preserve">«Gaseosa Colombiana» (Postobón) tiene origen en Antioquia.</t>
  </si>
  <si>
    <t xml:space="preserve">Verdadero: el origen de referencia de «Gaseosa Colombiana» es Antioquia.</t>
  </si>
  <si>
    <t xml:space="preserve">Productos · Origen</t>
  </si>
  <si>
    <t xml:space="preserve">TRV006</t>
  </si>
  <si>
    <t xml:space="preserve">El lead time es el tiempo que transcurre entre hacer un pedido y recibirlo.</t>
  </si>
  <si>
    <t xml:space="preserve">Incluye preparación, transporte y recepción.</t>
  </si>
  <si>
    <t xml:space="preserve">Conocimiento general</t>
  </si>
  <si>
    <t xml:space="preserve">TRV007</t>
  </si>
  <si>
    <t xml:space="preserve">Una estiba de «Panela cuadrada» se arma con 60 cajas.</t>
  </si>
  <si>
    <t xml:space="preserve">Falso: una estiba de «Panela cuadrada» lleva 40 cajas.</t>
  </si>
  <si>
    <t xml:space="preserve">Logística · Cajas por estiba</t>
  </si>
  <si>
    <t xml:space="preserve">TRV008</t>
  </si>
  <si>
    <t xml:space="preserve">Cada caja de «Banano premium» contiene 36 unidades.</t>
  </si>
  <si>
    <t xml:space="preserve">Falso: cada caja de «Banano premium» trae 18 unidades.</t>
  </si>
  <si>
    <t xml:space="preserve">Logística · Unidades por caja</t>
  </si>
  <si>
    <t xml:space="preserve">TRV009</t>
  </si>
  <si>
    <t xml:space="preserve">FIFO significa «primero en entrar, primero en salir».</t>
  </si>
  <si>
    <t xml:space="preserve">FIFO despacha primero lo que llegó primero a la bodega.</t>
  </si>
  <si>
    <t xml:space="preserve">TRV010</t>
  </si>
  <si>
    <t xml:space="preserve">D1 Cali se abastece desde el CD Cali.</t>
  </si>
  <si>
    <t xml:space="preserve">Verdadero: D1 Cali recibe mercancía del CD Cali.</t>
  </si>
  <si>
    <t xml:space="preserve">Tiendas · CD que abastece</t>
  </si>
  <si>
    <t xml:space="preserve">TRV011</t>
  </si>
  <si>
    <t xml:space="preserve">La trazabilidad por lote permite saber de dónde viene un producto y a qué tiendas fue enviado.</t>
  </si>
  <si>
    <t xml:space="preserve">Es fundamental para retiros del mercado y control de calidad.</t>
  </si>
  <si>
    <t xml:space="preserve">TRV012</t>
  </si>
  <si>
    <t xml:space="preserve">Un centro de distribución (CD) es un lugar donde el cliente final compra directamente.</t>
  </si>
  <si>
    <t xml:space="preserve">El CD recibe, almacena y despacha a las tiendas; no vende al público.</t>
  </si>
  <si>
    <t xml:space="preserve">TRV013</t>
  </si>
  <si>
    <t xml:space="preserve">El prefijo 770 en un código de barras GS1 corresponde a productos registrados en Colombia.</t>
  </si>
  <si>
    <t xml:space="preserve">770 es el prefijo GS1 asignado a Colombia.</t>
  </si>
  <si>
    <t xml:space="preserve">TRV014</t>
  </si>
  <si>
    <t xml:space="preserve">Un producto congelado puede pasar varias horas a 25 °C y volver a congelarse sin afectar su calidad ni su inocuidad.</t>
  </si>
  <si>
    <t xml:space="preserve">Romper la cadena de frío afecta la calidad y aumenta el riesgo microbiológico.</t>
  </si>
  <si>
    <t xml:space="preserve">TRV015</t>
  </si>
  <si>
    <t xml:space="preserve">«Chocolate de mesa» (Corona) tiene origen en Antioquia.</t>
  </si>
  <si>
    <t xml:space="preserve">Verdadero: el origen de referencia de «Chocolate de mesa» es Antioquia.</t>
  </si>
  <si>
    <t xml:space="preserve">TRV016</t>
  </si>
  <si>
    <t xml:space="preserve">Para transportar «Leche entera pasteurizada» (Colanta) se debe mantener una temperatura entre 2 °C y 6 °C.</t>
  </si>
  <si>
    <t xml:space="preserve">Verdadero: el rango de transporte de «Leche entera pasteurizada» es de 2 °C a 6 °C.</t>
  </si>
  <si>
    <t xml:space="preserve">TRV017</t>
  </si>
  <si>
    <t xml:space="preserve">El prefijo 770 en un código de barras GS1 corresponde a productos registrados en México.</t>
  </si>
  <si>
    <t xml:space="preserve">770 es el de Colombia; México usa 750.</t>
  </si>
  <si>
    <t xml:space="preserve">TRV018</t>
  </si>
  <si>
    <t xml:space="preserve">Una estiba (pallet) permite agrupar cajas para moverlas con montacargas o apilador.</t>
  </si>
  <si>
    <t xml:space="preserve">Facilita el manejo, transporte y almacenamiento de carga unitizada.</t>
  </si>
  <si>
    <t xml:space="preserve">TRV019</t>
  </si>
  <si>
    <t xml:space="preserve">Una estiba de «Huevos AA» se arma con 45 cajas.</t>
  </si>
  <si>
    <t xml:space="preserve">Falso: una estiba de «Huevos AA» lleva 30 cajas.</t>
  </si>
  <si>
    <t xml:space="preserve">TRV020</t>
  </si>
  <si>
    <t xml:space="preserve">FEFO significa «primero en vencer, primero en salir».</t>
  </si>
  <si>
    <t xml:space="preserve">FEFO (First Expired, First Out) prioriza despachar lo que vence antes; es clave en perecederos.</t>
  </si>
  <si>
    <t xml:space="preserve">TRV021</t>
  </si>
  <si>
    <t xml:space="preserve">Una estiba de «Aguacate Hass» se arma con 64 cajas.</t>
  </si>
  <si>
    <t xml:space="preserve">Verdadero: una estiba de «Aguacate Hass» lleva 64 cajas.</t>
  </si>
  <si>
    <t xml:space="preserve">TRV022</t>
  </si>
  <si>
    <t xml:space="preserve">«Gaseosa Colombiana» (Postobón) debe transportarse congelado a -18 °C.</t>
  </si>
  <si>
    <t xml:space="preserve">Falso: «Gaseosa Colombiana» se transporta en condiciones secas/ambiente (10–30 °C), sin cadena de frío.</t>
  </si>
  <si>
    <t xml:space="preserve">TRV023</t>
  </si>
  <si>
    <t xml:space="preserve">La vida útil estimada de «Uchuva con capacho» es de 15 días.</t>
  </si>
  <si>
    <t xml:space="preserve">Verdadero: la vida útil estimada de «Uchuva con capacho» es de 15 días.</t>
  </si>
  <si>
    <t xml:space="preserve">Logística · Vida útil (días)</t>
  </si>
  <si>
    <t xml:space="preserve">TRV024</t>
  </si>
  <si>
    <t xml:space="preserve">«Leche entera pasteurizada» (Colanta) tiene origen en Cundinamarca.</t>
  </si>
  <si>
    <t xml:space="preserve">Falso: el origen de referencia de «Leche entera pasteurizada» es Antioquia.</t>
  </si>
  <si>
    <t xml:space="preserve">TRV025</t>
  </si>
  <si>
    <t xml:space="preserve">En Éxito Medellín, «Yogurt entero» tiene un stock por debajo del mínimo y requiere reabastecimiento.</t>
  </si>
  <si>
    <t xml:space="preserve">Verdadero: el stock (19) es menor al mínimo (41).</t>
  </si>
  <si>
    <t xml:space="preserve">Inventario · Estado</t>
  </si>
  <si>
    <t xml:space="preserve">TRV026</t>
  </si>
  <si>
    <t xml:space="preserve">Éxito Medellín cuenta con cuarto frío en su bodega.</t>
  </si>
  <si>
    <t xml:space="preserve">Verdadero: Éxito Medellín tiene cuarto frío.</t>
  </si>
  <si>
    <t xml:space="preserve">Tiendas · Cuarto frío</t>
  </si>
  <si>
    <t xml:space="preserve">TRV027</t>
  </si>
  <si>
    <t xml:space="preserve">«Cebolla cabezona blanca» (Frescura) tiene origen en Boyacá.</t>
  </si>
  <si>
    <t xml:space="preserve">Verdadero: el origen de referencia de «Cebolla cabezona blanca» es Boyacá.</t>
  </si>
  <si>
    <t xml:space="preserve">TRV028</t>
  </si>
  <si>
    <t xml:space="preserve">El vehículo típico para mover «Chocolatina Jet» es: furgón seco.</t>
  </si>
  <si>
    <t xml:space="preserve">Verdadero: el vehículo típico para «Chocolatina Jet» es furgón seco.</t>
  </si>
  <si>
    <t xml:space="preserve">Logística · Vehículo</t>
  </si>
  <si>
    <t xml:space="preserve">TRV029</t>
  </si>
  <si>
    <t xml:space="preserve">Cada caja de «Pulpa de mora congelada» contiene 40 unidades.</t>
  </si>
  <si>
    <t xml:space="preserve">Falso: cada caja de «Pulpa de mora congelada» trae 20 unidades.</t>
  </si>
  <si>
    <t xml:space="preserve">TRV030</t>
  </si>
  <si>
    <t xml:space="preserve">«Bocadillo veleño» (Frescura) no necesita transporte con temperatura controlada.</t>
  </si>
  <si>
    <t xml:space="preserve">Verdadero: «Bocadillo veleño» se transporta en condiciones secas/ambiente (15–30 °C), sin cadena de frío.</t>
  </si>
  <si>
    <t xml:space="preserve">TRV031</t>
  </si>
  <si>
    <t xml:space="preserve">Dos presentaciones distintas de un mismo producto (500 g y 1 kg) deben compartir el mismo SKU.</t>
  </si>
  <si>
    <t xml:space="preserve">Cada presentación se registra con un SKU distinto.</t>
  </si>
  <si>
    <t xml:space="preserve">TRV032</t>
  </si>
  <si>
    <t xml:space="preserve">Éxito Medellín se abastece desde el CD Medellín.</t>
  </si>
  <si>
    <t xml:space="preserve">Verdadero: Éxito Medellín recibe mercancía del CD Medellín.</t>
  </si>
  <si>
    <t xml:space="preserve">TRV033</t>
  </si>
  <si>
    <t xml:space="preserve">«Aceite de girasol» (Gourmet) tiene origen en Boyacá.</t>
  </si>
  <si>
    <t xml:space="preserve">Falso: el origen de referencia de «Aceite de girasol» es Valle del Cauca.</t>
  </si>
  <si>
    <t xml:space="preserve">TRV034</t>
  </si>
  <si>
    <t xml:space="preserve">«Aguardiente tradicional» (Antioqueño) tiene origen en Cundinamarca.</t>
  </si>
  <si>
    <t xml:space="preserve">Falso: el origen de referencia de «Aguardiente tradicional» es Antioquia.</t>
  </si>
  <si>
    <t xml:space="preserve">TRV035</t>
  </si>
  <si>
    <t xml:space="preserve">El vehículo típico para mover «Mango Tommy» es: camión refrigerado.</t>
  </si>
  <si>
    <t xml:space="preserve">Verdadero: el vehículo típico para «Mango Tommy» es camión refrigerado.</t>
  </si>
  <si>
    <t xml:space="preserve">TRV036</t>
  </si>
  <si>
    <t xml:space="preserve">«Papa criolla lavada» (Frescura) tiene origen en Huila.</t>
  </si>
  <si>
    <t xml:space="preserve">Falso: el origen de referencia de «Papa criolla lavada» es Cundinamarca.</t>
  </si>
  <si>
    <t xml:space="preserve">TRV037</t>
  </si>
  <si>
    <t xml:space="preserve">«Arroz blanco» (Diana) tiene origen en Tolima.</t>
  </si>
  <si>
    <t xml:space="preserve">Verdadero: el origen de referencia de «Arroz blanco» es Tolima.</t>
  </si>
  <si>
    <t xml:space="preserve">TRV038</t>
  </si>
  <si>
    <t xml:space="preserve">Ara Medellín se abastece desde el CD Cali.</t>
  </si>
  <si>
    <t xml:space="preserve">Falso: Ara Medellín recibe mercancía del CD Medellín.</t>
  </si>
  <si>
    <t xml:space="preserve">TRV039</t>
  </si>
  <si>
    <t xml:space="preserve">«Café tostado y molido» (Juan Valdez) tiene origen en Huila.</t>
  </si>
  <si>
    <t xml:space="preserve">Verdadero: el origen de referencia de «Café tostado y molido» es Huila.</t>
  </si>
  <si>
    <t xml:space="preserve">TRV040</t>
  </si>
  <si>
    <t xml:space="preserve">«Cebolla cabezona blanca» (Frescura) debe transportarse congelado a -18 °C.</t>
  </si>
  <si>
    <t xml:space="preserve">Falso: «Cebolla cabezona blanca» se transporta en condiciones secas/ambiente (15–25 °C), sin cadena de frío.</t>
  </si>
  <si>
    <t xml:space="preserve">TRV041</t>
  </si>
  <si>
    <t xml:space="preserve">Cada caja de «Café tostado y molido» contiene 12 unidades.</t>
  </si>
  <si>
    <t xml:space="preserve">Verdadero: cada caja de «Café tostado y molido» trae 12 unidades.</t>
  </si>
  <si>
    <t xml:space="preserve">TRV042</t>
  </si>
  <si>
    <t xml:space="preserve">El SKU es un código interno que identifica de forma única cada producto o presentación en el inventario.</t>
  </si>
  <si>
    <t xml:space="preserve">Cada variante (sabor, tamaño, empaque) tiene su propio SKU.</t>
  </si>
  <si>
    <t xml:space="preserve">TRV043</t>
  </si>
  <si>
    <t xml:space="preserve">«Queso campesino» (Colanta) tiene origen en Huila.</t>
  </si>
  <si>
    <t xml:space="preserve">Falso: el origen de referencia de «Queso campesino» es Antioquia.</t>
  </si>
  <si>
    <t xml:space="preserve">TRV044</t>
  </si>
  <si>
    <t xml:space="preserve">«Salchichas tipo Viena» (Zenú) tiene origen en Antioquia.</t>
  </si>
  <si>
    <t xml:space="preserve">Verdadero: el origen de referencia de «Salchichas tipo Viena» es Antioquia.</t>
  </si>
  <si>
    <t xml:space="preserve">TRV045</t>
  </si>
  <si>
    <t xml:space="preserve">Un producto refrigerado y uno congelado se transportan a la misma temperatura.</t>
  </si>
  <si>
    <t xml:space="preserve">Refrigerados: aprox. 0–8 °C. Congelados: aprox. -18 °C o menos.</t>
  </si>
  <si>
    <t xml:space="preserve">TRV046</t>
  </si>
  <si>
    <t xml:space="preserve">Tienda de barrio Bogotá se abastece desde el CD Bogotá.</t>
  </si>
  <si>
    <t xml:space="preserve">Verdadero: Tienda de barrio Bogotá recibe mercancía del CD Bogotá.</t>
  </si>
  <si>
    <t xml:space="preserve">TRV047</t>
  </si>
  <si>
    <t xml:space="preserve">La conservación recomendada de «Gaseosa Colombiana» es: congelado -18 °C.</t>
  </si>
  <si>
    <t xml:space="preserve">Falso: la conservación recomendada de «Gaseosa Colombiana» es temperatura ambiente.</t>
  </si>
  <si>
    <t xml:space="preserve">TRV048</t>
  </si>
  <si>
    <t xml:space="preserve">Cada caja de «Plátano hartón» contiene 15 unidades.</t>
  </si>
  <si>
    <t xml:space="preserve">Verdadero: cada caja de «Plátano hartón» trae 15 unidades.</t>
  </si>
  <si>
    <t xml:space="preserve">TRV049</t>
  </si>
  <si>
    <t xml:space="preserve">La vida útil estimada de «Café instantáneo clásico» es de 720 días.</t>
  </si>
  <si>
    <t xml:space="preserve">Verdadero: la vida útil estimada de «Café instantáneo clásico» es de 720 días.</t>
  </si>
  <si>
    <t xml:space="preserve">TRV050</t>
  </si>
  <si>
    <t xml:space="preserve">«Galletas Saltín» (Noel) tiene origen en Santander.</t>
  </si>
  <si>
    <t xml:space="preserve">Falso: el origen de referencia de «Galletas Saltín» es Antioquia.</t>
  </si>
  <si>
    <t xml:space="preserve">TRV051</t>
  </si>
  <si>
    <t xml:space="preserve">Cada caja de «Yogurt entero» contiene 12 unidades.</t>
  </si>
  <si>
    <t xml:space="preserve">Verdadero: cada caja de «Yogurt entero» trae 12 unidades.</t>
  </si>
  <si>
    <t xml:space="preserve">TRV052</t>
  </si>
  <si>
    <t xml:space="preserve">En Éxito Cartagena, «Arroz blanco» tiene un stock por debajo del mínimo y requiere reabastecimiento.</t>
  </si>
  <si>
    <t xml:space="preserve">Falso: el stock (42) está por encima del mínimo (19), estado OK.</t>
  </si>
  <si>
    <t xml:space="preserve">TRV053</t>
  </si>
  <si>
    <t xml:space="preserve">«Papas fritas sabor pollo» (Margarita) debe transportarse congelado a -18 °C.</t>
  </si>
  <si>
    <t xml:space="preserve">Falso: «Papas fritas sabor pollo» se transporta en condiciones secas/ambiente (15–30 °C), sin cadena de frío.</t>
  </si>
  <si>
    <t xml:space="preserve">TRV054</t>
  </si>
  <si>
    <t xml:space="preserve">La vida útil estimada de «Galletas Saltín» es de 180 días.</t>
  </si>
  <si>
    <t xml:space="preserve">Verdadero: la vida útil estimada de «Galletas Saltín» es de 180 días.</t>
  </si>
  <si>
    <t xml:space="preserve">TRV055</t>
  </si>
  <si>
    <t xml:space="preserve">El vehículo típico para mover «Queso campesino» es: camión refrigerado.</t>
  </si>
  <si>
    <t xml:space="preserve">Verdadero: el vehículo típico para «Queso campesino» es camión refrigerado.</t>
  </si>
  <si>
    <t xml:space="preserve">TRV056</t>
  </si>
  <si>
    <t xml:space="preserve">Una estiba de «Arroz blanco» se arma con 36 cajas.</t>
  </si>
  <si>
    <t xml:space="preserve">Verdadero: una estiba de «Arroz blanco» lleva 36 cajas.</t>
  </si>
  <si>
    <t xml:space="preserve">TRV057</t>
  </si>
  <si>
    <t xml:space="preserve">Para transportar «Uchuva con capacho» (Frescura) se debe mantener una temperatura entre 2 °C y 6 °C.</t>
  </si>
  <si>
    <t xml:space="preserve">Verdadero: el rango de transporte de «Uchuva con capacho» es de 2 °C a 6 °C.</t>
  </si>
  <si>
    <t xml:space="preserve">TRV058</t>
  </si>
  <si>
    <t xml:space="preserve">La vida útil estimada de «Aguardiente tradicional» es de 1095 días.</t>
  </si>
  <si>
    <t xml:space="preserve">Verdadero: la vida útil estimada de «Aguardiente tradicional» es de 1095 días.</t>
  </si>
  <si>
    <t xml:space="preserve">TRV059</t>
  </si>
  <si>
    <t xml:space="preserve">La «última milla» es el tramo final de la entrega, desde el último punto de distribución hasta el cliente.</t>
  </si>
  <si>
    <t xml:space="preserve">Suele ser el tramo más costoso y complejo de la cadena logística.</t>
  </si>
  <si>
    <t xml:space="preserve">TRV060</t>
  </si>
  <si>
    <t xml:space="preserve">En Surtimax Bucaramanga, «Plátano hartón» tiene un stock por debajo del mínimo y requiere reabastecimiento.</t>
  </si>
  <si>
    <t xml:space="preserve">Falso: el stock (116) está por encima del mínimo (86), estado OK.</t>
  </si>
  <si>
    <t xml:space="preserve">TRV061</t>
  </si>
  <si>
    <t xml:space="preserve">«Papas fritas sabor pollo» (Margarita) tiene origen en Antioquia.</t>
  </si>
  <si>
    <t xml:space="preserve">Verdadero: el origen de referencia de «Papas fritas sabor pollo» es Antioquia.</t>
  </si>
  <si>
    <t xml:space="preserve">TRV062</t>
  </si>
  <si>
    <t xml:space="preserve">Para transportar «Lulo» (Frescura) se debe mantener una temperatura entre 20 °C y 25 °C.</t>
  </si>
  <si>
    <t xml:space="preserve">Falso: el rango de transporte de «Lulo» es de 7 °C a 10 °C.</t>
  </si>
  <si>
    <t xml:space="preserve">TRV063</t>
  </si>
  <si>
    <t xml:space="preserve">Una estiba de «Chocolate de mesa» se arma con 60 cajas.</t>
  </si>
  <si>
    <t xml:space="preserve">Verdadero: una estiba de «Chocolate de mesa» lleva 60 cajas.</t>
  </si>
  <si>
    <t xml:space="preserve">TRV064</t>
  </si>
  <si>
    <t xml:space="preserve">El vehículo típico para mover «Papa criolla lavada» es: furgón seco.</t>
  </si>
  <si>
    <t xml:space="preserve">Verdadero: el vehículo típico para «Papa criolla lavada» es furgón seco.</t>
  </si>
  <si>
    <t xml:space="preserve">TRV065</t>
  </si>
  <si>
    <t xml:space="preserve">«Fríjol cargamanto» (Frescura) tiene origen en Antioquia.</t>
  </si>
  <si>
    <t xml:space="preserve">Verdadero: el origen de referencia de «Fríjol cargamanto» es Antioquia.</t>
  </si>
  <si>
    <t xml:space="preserve">TRV066</t>
  </si>
  <si>
    <t xml:space="preserve">La conservación recomendada de «Papas fritas sabor pollo» es: congelado -18 °C.</t>
  </si>
  <si>
    <t xml:space="preserve">Falso: la conservación recomendada de «Papas fritas sabor pollo» es lugar fresco y seco.</t>
  </si>
  <si>
    <t xml:space="preserve">TRV067</t>
  </si>
  <si>
    <t xml:space="preserve">La conservación recomendada de «Fríjol cargamanto» es: congelado -18 °C.</t>
  </si>
  <si>
    <t xml:space="preserve">Falso: la conservación recomendada de «Fríjol cargamanto» es lugar fresco y seco.</t>
  </si>
  <si>
    <t xml:space="preserve">TRV068</t>
  </si>
  <si>
    <t xml:space="preserve">«Mango Tommy» (Frescura) tiene origen en Quindío.</t>
  </si>
  <si>
    <t xml:space="preserve">Falso: el origen de referencia de «Mango Tommy» es Tolima.</t>
  </si>
  <si>
    <t xml:space="preserve">TRV069</t>
  </si>
  <si>
    <t xml:space="preserve">«Papel higiénico» se despacha desde Medellín hacia el CD Cali.</t>
  </si>
  <si>
    <t xml:space="preserve">Falso: «Papel higiénico» sale de Medellín hacia el CD Bogotá (~415 km).</t>
  </si>
  <si>
    <t xml:space="preserve">TRV070</t>
  </si>
  <si>
    <t xml:space="preserve">«Arequipe» (Alpina) debe transportarse congelado a -18 °C.</t>
  </si>
  <si>
    <t xml:space="preserve">Falso: «Arequipe» se transporta en condiciones secas/ambiente (15–30 °C), sin cadena de frío.</t>
  </si>
  <si>
    <t xml:space="preserve">TRV071</t>
  </si>
  <si>
    <t xml:space="preserve">La vida útil estimada de «Bocadillo veleño» es de 365 días.</t>
  </si>
  <si>
    <t xml:space="preserve">Verdadero: la vida útil estimada de «Bocadillo veleño» es de 365 días.</t>
  </si>
  <si>
    <t xml:space="preserve">TRV072</t>
  </si>
  <si>
    <t xml:space="preserve">«Aguacate Hass» (Frescura) tiene origen en Antioquia.</t>
  </si>
  <si>
    <t xml:space="preserve">Verdadero: el origen de referencia de «Aguacate Hass» es Antioquia.</t>
  </si>
  <si>
    <t xml:space="preserve">TRV073</t>
  </si>
  <si>
    <t xml:space="preserve">La conservación recomendada de «Café tostado y molido» es: congelado -18 °C.</t>
  </si>
  <si>
    <t xml:space="preserve">Falso: la conservación recomendada de «Café tostado y molido» es lugar fresco y seco.</t>
  </si>
  <si>
    <t xml:space="preserve">TRV074</t>
  </si>
  <si>
    <t xml:space="preserve">«Aceite de girasol» (Gourmet) no necesita transporte con temperatura controlada.</t>
  </si>
  <si>
    <t xml:space="preserve">Verdadero: «Aceite de girasol» se transporta en condiciones secas/ambiente (15–30 °C), sin cadena de frío.</t>
  </si>
  <si>
    <t xml:space="preserve">TRV075</t>
  </si>
  <si>
    <t xml:space="preserve">La cadena de frío solo importa durante el transporte y se puede ignorar en la bodega.</t>
  </si>
  <si>
    <t xml:space="preserve">La cadena de frío debe mantenerse en producción, bodega, transporte, tienda y exhibición.</t>
  </si>
  <si>
    <t xml:space="preserve">TRV076</t>
  </si>
  <si>
    <t xml:space="preserve">«Chocolatina Jet» (Jet) no necesita transporte con temperatura controlada.</t>
  </si>
  <si>
    <t xml:space="preserve">Verdadero: «Chocolatina Jet» se transporta en condiciones secas/ambiente (15–25 °C), sin cadena de frío.</t>
  </si>
  <si>
    <t xml:space="preserve">TRV077</t>
  </si>
  <si>
    <t xml:space="preserve">Para transportar «Aguacate Hass» (Frescura) se debe mantener una temperatura entre 18 °C y 23 °C.</t>
  </si>
  <si>
    <t xml:space="preserve">Falso: el rango de transporte de «Aguacate Hass» es de 5 °C a 8 °C.</t>
  </si>
  <si>
    <t xml:space="preserve">TRV078</t>
  </si>
  <si>
    <t xml:space="preserve">Para transportar «Pulpa de mora congelada» (Frescura) se debe mantener una temperatura entre -22 °C y -18 °C.</t>
  </si>
  <si>
    <t xml:space="preserve">Verdadero: el rango de transporte de «Pulpa de mora congelada» es de -22 °C a -18 °C.</t>
  </si>
  <si>
    <t xml:space="preserve">TRV079</t>
  </si>
  <si>
    <t xml:space="preserve">«Galletas Saltín» (Noel) no necesita transporte con temperatura controlada.</t>
  </si>
  <si>
    <t xml:space="preserve">Verdadero: «Galletas Saltín» se transporta en condiciones secas/ambiente (15–30 °C), sin cadena de frío.</t>
  </si>
  <si>
    <t xml:space="preserve">TRV080</t>
  </si>
  <si>
    <t xml:space="preserve">«Panela cuadrada» (Frescura) tiene origen en Quindío.</t>
  </si>
  <si>
    <t xml:space="preserve">Falso: el origen de referencia de «Panela cuadrada» es Cundinamarca.</t>
  </si>
  <si>
    <t xml:space="preserve">TRV081</t>
  </si>
  <si>
    <t xml:space="preserve">Cada caja de «Mango Tommy» contiene 20 unidades.</t>
  </si>
  <si>
    <t xml:space="preserve">Falso: cada caja de «Mango Tommy» trae 10 unidades.</t>
  </si>
  <si>
    <t xml:space="preserve">TRV082</t>
  </si>
  <si>
    <t xml:space="preserve">Una estiba de «Café instantáneo clásico» se arma con 210 cajas.</t>
  </si>
  <si>
    <t xml:space="preserve">Falso: una estiba de «Café instantáneo clásico» lleva 140 cajas.</t>
  </si>
  <si>
    <t xml:space="preserve">TRV083</t>
  </si>
  <si>
    <t xml:space="preserve">Jumbo Bogotá cuenta con cuarto frío en su bodega.</t>
  </si>
  <si>
    <t xml:space="preserve">Verdadero: Jumbo Bogotá tiene cuarto frío.</t>
  </si>
  <si>
    <t xml:space="preserve">TRV084</t>
  </si>
  <si>
    <t xml:space="preserve">Una estiba de «Bon Bon Bum surtido» se arma con 150 cajas.</t>
  </si>
  <si>
    <t xml:space="preserve">Verdadero: una estiba de «Bon Bon Bum surtido» lleva 150 cajas.</t>
  </si>
  <si>
    <t xml:space="preserve">TRV085</t>
  </si>
  <si>
    <t xml:space="preserve">Los productos frágiles, como los de vidrio, se pueden apilar sin límite de niveles en una estiba.</t>
  </si>
  <si>
    <t xml:space="preserve">Los frágiles tienen un máximo de niveles apilables para evitar roturas.</t>
  </si>
  <si>
    <t xml:space="preserve">TRV086</t>
  </si>
  <si>
    <t xml:space="preserve">Cada caja de «Aceite de girasol» contiene 24 unidades.</t>
  </si>
  <si>
    <t xml:space="preserve">Falso: cada caja de «Aceite de girasol» trae 12 unidades.</t>
  </si>
  <si>
    <t xml:space="preserve">TRV087</t>
  </si>
  <si>
    <t xml:space="preserve">«Café instantáneo clásico» (Colcafé) no necesita transporte con temperatura controlada.</t>
  </si>
  <si>
    <t xml:space="preserve">Verdadero: «Café instantáneo clásico» se transporta en condiciones secas/ambiente (15–30 °C), sin cadena de frío.</t>
  </si>
  <si>
    <t xml:space="preserve">TRV088</t>
  </si>
  <si>
    <t xml:space="preserve">«Bon Bon Bum surtido» (Colombina) tiene origen en Valle del Cauca.</t>
  </si>
  <si>
    <t xml:space="preserve">Verdadero: el origen de referencia de «Bon Bon Bum surtido» es Valle del Cauca.</t>
  </si>
  <si>
    <t xml:space="preserve">TRV089</t>
  </si>
  <si>
    <t xml:space="preserve">Una estiba de «Papel higiénico» se arma con 80 cajas.</t>
  </si>
  <si>
    <t xml:space="preserve">Verdadero: una estiba de «Papel higiénico» lleva 80 cajas.</t>
  </si>
  <si>
    <t xml:space="preserve">TRV090</t>
  </si>
  <si>
    <t xml:space="preserve">En Jumbo Bogotá, «Arequipe» tiene un stock por debajo del mínimo y requiere reabastecimiento.</t>
  </si>
  <si>
    <t xml:space="preserve">Verdadero: el stock (65) es menor al mínimo (87).</t>
  </si>
  <si>
    <t xml:space="preserve">TRV091</t>
  </si>
  <si>
    <t xml:space="preserve">«Picking» es el proceso de recoger productos en la bodega para preparar un pedido.</t>
  </si>
  <si>
    <t xml:space="preserve">El picking es la preparación de pedidos tomando los productos de su ubicación.</t>
  </si>
  <si>
    <t xml:space="preserve">TRV092</t>
  </si>
  <si>
    <t xml:space="preserve">Surtimax Bucaramanga se abastece desde el CD Bogotá.</t>
  </si>
  <si>
    <t xml:space="preserve">Verdadero: Surtimax Bucaramanga recibe mercancía del CD Bogotá.</t>
  </si>
  <si>
    <t xml:space="preserve">TRV093</t>
  </si>
  <si>
    <t xml:space="preserve">Una estiba de «Chocolatina Jet» se arma con 150 cajas.</t>
  </si>
  <si>
    <t xml:space="preserve">Falso: una estiba de «Chocolatina Jet» lleva 100 cajas.</t>
  </si>
  <si>
    <t xml:space="preserve">TRV094</t>
  </si>
  <si>
    <t xml:space="preserve">«Chocolate de mesa» (Corona) debe transportarse congelado a -18 °C.</t>
  </si>
  <si>
    <t xml:space="preserve">Falso: «Chocolate de mesa» se transporta en condiciones secas/ambiente (15–25 °C), sin cadena de frío.</t>
  </si>
  <si>
    <t xml:space="preserve">TRV095</t>
  </si>
  <si>
    <t xml:space="preserve">«Chocolatina Jet» (Jet) tiene origen en Huila.</t>
  </si>
  <si>
    <t xml:space="preserve">Falso: el origen de referencia de «Chocolatina Jet» es Antioquia.</t>
  </si>
  <si>
    <t xml:space="preserve">TRV096</t>
  </si>
  <si>
    <t xml:space="preserve">Para transportar «Banano premium» (Frescura) se debe mantener una temperatura entre 13 °C y 15 °C.</t>
  </si>
  <si>
    <t xml:space="preserve">Verdadero: el rango de transporte de «Banano premium» es de 13 °C a 15 °C.</t>
  </si>
  <si>
    <t xml:space="preserve">TRV097</t>
  </si>
  <si>
    <t xml:space="preserve">«Yogurt entero» se despacha desde Sopó hacia el CD Medellín.</t>
  </si>
  <si>
    <t xml:space="preserve">Falso: «Yogurt entero» sale de Sopó hacia el CD Cali (~480 km).</t>
  </si>
  <si>
    <t xml:space="preserve">TRV098</t>
  </si>
  <si>
    <t xml:space="preserve">Una estiba de «Gaseosa Colombiana» se arma con 70 cajas.</t>
  </si>
  <si>
    <t xml:space="preserve">Verdadero: una estiba de «Gaseosa Colombiana» lleva 70 cajas.</t>
  </si>
  <si>
    <t xml:space="preserve">TRV099</t>
  </si>
  <si>
    <t xml:space="preserve">La vida útil estimada de «Pulpa de mora congelada» es de 365 días.</t>
  </si>
  <si>
    <t xml:space="preserve">Verdadero: la vida útil estimada de «Pulpa de mora congelada» es de 365 días.</t>
  </si>
  <si>
    <t xml:space="preserve">TRV100</t>
  </si>
  <si>
    <t xml:space="preserve">Un centro de distribución recibe mercancía de varios proveedores y la despacha a las tiendas.</t>
  </si>
  <si>
    <t xml:space="preserve">Consolida pedidos y optimiza el transporte hacia los puntos de venta.</t>
  </si>
  <si>
    <t xml:space="preserve">TRV101</t>
  </si>
  <si>
    <t xml:space="preserve">En Éxito Cartagena, «Leche entera pasteurizada» tiene un stock por debajo del mínimo y requiere reabastecimiento.</t>
  </si>
  <si>
    <t xml:space="preserve">Verdadero: el stock (29) es menor al mínimo (42).</t>
  </si>
  <si>
    <t xml:space="preserve">TRV102</t>
  </si>
  <si>
    <t xml:space="preserve">El stock de seguridad se usa para guardar productos vencidos.</t>
  </si>
  <si>
    <t xml:space="preserve">El stock de seguridad amortigua variaciones de la demanda o retrasos de los proveedores.</t>
  </si>
  <si>
    <t xml:space="preserve">TRV103</t>
  </si>
  <si>
    <t xml:space="preserve">«Café instantáneo clásico» (Colcafé) tiene origen en Cundinamarca.</t>
  </si>
  <si>
    <t xml:space="preserve">Falso: el origen de referencia de «Café instantáneo clásico» es Antioquia.</t>
  </si>
  <si>
    <t xml:space="preserve">TRV104</t>
  </si>
  <si>
    <t xml:space="preserve">Una estiba de «Salchichas tipo Viena» se arma con 80 cajas.</t>
  </si>
  <si>
    <t xml:space="preserve">Verdadero: una estiba de «Salchichas tipo Viena» lleva 80 cajas.</t>
  </si>
  <si>
    <t xml:space="preserve">TRV105</t>
  </si>
  <si>
    <t xml:space="preserve">«Bon Bon Bum surtido» (Colombina) debe transportarse congelado a -18 °C.</t>
  </si>
  <si>
    <t xml:space="preserve">Falso: «Bon Bon Bum surtido» se transporta en condiciones secas/ambiente (15–25 °C), sin cadena de frío.</t>
  </si>
  <si>
    <t xml:space="preserve">TRV106</t>
  </si>
  <si>
    <t xml:space="preserve">Makro Cali se abastece desde el CD Cali.</t>
  </si>
  <si>
    <t xml:space="preserve">Verdadero: Makro Cali recibe mercancía del CD Cali.</t>
  </si>
  <si>
    <t xml:space="preserve">TRV107</t>
  </si>
  <si>
    <t xml:space="preserve">Para transportar «Yogurt entero» (Alpina) se debe mantener una temperatura entre 15 °C y 21 °C.</t>
  </si>
  <si>
    <t xml:space="preserve">Falso: el rango de transporte de «Yogurt entero» es de 2 °C a 6 °C.</t>
  </si>
  <si>
    <t xml:space="preserve">TRV108</t>
  </si>
  <si>
    <t xml:space="preserve">«Chocolate de mesa» se despacha desde Medellín hacia el CD Cali.</t>
  </si>
  <si>
    <t xml:space="preserve">Falso: «Chocolate de mesa» sale de Medellín hacia el CD Bogotá (~415 km).</t>
  </si>
  <si>
    <t xml:space="preserve">TRV109</t>
  </si>
  <si>
    <t xml:space="preserve">Cada caja de «Arequipe» contiene 24 unidades.</t>
  </si>
  <si>
    <t xml:space="preserve">Verdadero: cada caja de «Arequipe» trae 24 unidades.</t>
  </si>
  <si>
    <t xml:space="preserve">TRV110</t>
  </si>
  <si>
    <t xml:space="preserve">Una estiba de «Cebolla cabezona blanca» se arma con 36 cajas.</t>
  </si>
  <si>
    <t xml:space="preserve">Verdadero: una estiba de «Cebolla cabezona blanca» lleva 36 cajas.</t>
  </si>
  <si>
    <t xml:space="preserve">TRV111</t>
  </si>
  <si>
    <t xml:space="preserve">En Olímpica Barranquilla, «Huevos AA» tiene un stock por debajo del mínimo y requiere reabastecimiento.</t>
  </si>
  <si>
    <t xml:space="preserve">Falso: el stock (50) está por encima del mínimo (40), estado OK.</t>
  </si>
  <si>
    <t xml:space="preserve">TRV112</t>
  </si>
  <si>
    <t xml:space="preserve">«Papel higiénico» (Familia) tiene origen en Antioquia.</t>
  </si>
  <si>
    <t xml:space="preserve">Verdadero: el origen de referencia de «Papel higiénico» es Antioquia.</t>
  </si>
  <si>
    <t xml:space="preserve">TRV113</t>
  </si>
  <si>
    <t xml:space="preserve">En Makro Cali, «Mango Tommy» tiene un stock por debajo del mínimo y requiere reabastecimiento.</t>
  </si>
  <si>
    <t xml:space="preserve">Verdadero: el stock (188) es menor al mínimo (226).</t>
  </si>
  <si>
    <t xml:space="preserve">TRV114</t>
  </si>
  <si>
    <t xml:space="preserve">«Lulo» se despacha desde Neiva hacia el CD Cali.</t>
  </si>
  <si>
    <t xml:space="preserve">Falso: «Lulo» sale de Neiva hacia el CD Bogotá (~310 km).</t>
  </si>
  <si>
    <t xml:space="preserve">TRV115</t>
  </si>
  <si>
    <t xml:space="preserve">«Yogurt entero» (Alpina) tiene origen en Cundinamarca.</t>
  </si>
  <si>
    <t xml:space="preserve">Verdadero: el origen de referencia de «Yogurt entero» es Cundinamarca.</t>
  </si>
  <si>
    <t xml:space="preserve">TRV116</t>
  </si>
  <si>
    <t xml:space="preserve">«Lulo» (Frescura) tiene origen en Huila.</t>
  </si>
  <si>
    <t xml:space="preserve">Verdadero: el origen de referencia de «Lulo» es Huila.</t>
  </si>
  <si>
    <t xml:space="preserve">TRV117</t>
  </si>
  <si>
    <t xml:space="preserve">El vehículo típico para mover «Panela cuadrada» es: furgón seco.</t>
  </si>
  <si>
    <t xml:space="preserve">Verdadero: el vehículo típico para «Panela cuadrada» es furgón seco.</t>
  </si>
  <si>
    <t xml:space="preserve">TRV118</t>
  </si>
  <si>
    <t xml:space="preserve">El vehículo típico para mover «Aceite de girasol» es: furgón seco.</t>
  </si>
  <si>
    <t xml:space="preserve">Verdadero: el vehículo típico para «Aceite de girasol» es furgón seco.</t>
  </si>
  <si>
    <t xml:space="preserve">TRV119</t>
  </si>
  <si>
    <t xml:space="preserve">Éxito Cartagena se abastece desde el CD Medellín.</t>
  </si>
  <si>
    <t xml:space="preserve">Falso: Éxito Cartagena recibe mercancía del CD Cartagena.</t>
  </si>
  <si>
    <t xml:space="preserve">TRV120</t>
  </si>
  <si>
    <t xml:space="preserve">Tienda de barrio Bogotá cuenta con cuarto frío en su bodega.</t>
  </si>
  <si>
    <t xml:space="preserve">Falso: Tienda de barrio Bogotá no tiene cuarto frío, por eso no se le asignan productos refrigerados ni congelados.</t>
  </si>
  <si>
    <t xml:space="preserve">TRV121</t>
  </si>
  <si>
    <t xml:space="preserve">«Huevos AA» (Frescura) tiene origen en Quindío.</t>
  </si>
  <si>
    <t xml:space="preserve">Falso: el origen de referencia de «Huevos AA» es Santander.</t>
  </si>
  <si>
    <t xml:space="preserve">TRV122</t>
  </si>
  <si>
    <t xml:space="preserve">«Aguacate Hass» se despacha desde Jardín hacia el CD Cali.</t>
  </si>
  <si>
    <t xml:space="preserve">Falso: «Aguacate Hass» sale de Jardín hacia el CD Medellín (~130 km).</t>
  </si>
  <si>
    <t xml:space="preserve">TRV123</t>
  </si>
  <si>
    <t xml:space="preserve">«Fríjol cargamanto» (Frescura) debe transportarse congelado a -18 °C.</t>
  </si>
  <si>
    <t xml:space="preserve">Falso: «Fríjol cargamanto» se transporta en condiciones secas/ambiente (15–30 °C), sin cadena de frío.</t>
  </si>
  <si>
    <t xml:space="preserve">TRV124</t>
  </si>
  <si>
    <t xml:space="preserve">«Plátano hartón» (Frescura) tiene origen en Quindío.</t>
  </si>
  <si>
    <t xml:space="preserve">Verdadero: el origen de referencia de «Plátano hartón» es Quindío.</t>
  </si>
  <si>
    <t xml:space="preserve">TRV125</t>
  </si>
  <si>
    <t xml:space="preserve">En Éxito Cartagena, «Lulo» tiene un stock por debajo del mínimo y requiere reabastecimiento.</t>
  </si>
  <si>
    <t xml:space="preserve">Verdadero: el stock (13) es menor al mínimo (23).</t>
  </si>
  <si>
    <t xml:space="preserve">TRV126</t>
  </si>
  <si>
    <t xml:space="preserve">En Jumbo Bogotá, «Chocolate de mesa» tiene un stock por debajo del mínimo y requiere reabastecimiento.</t>
  </si>
  <si>
    <t xml:space="preserve">Verdadero: el stock (36) es menor al mínimo (47).</t>
  </si>
  <si>
    <t xml:space="preserve">TRV127</t>
  </si>
  <si>
    <t xml:space="preserve">Jumbo Bogotá se abastece desde el CD Cali.</t>
  </si>
  <si>
    <t xml:space="preserve">Falso: Jumbo Bogotá recibe mercancía del CD Bogotá.</t>
  </si>
  <si>
    <t xml:space="preserve">TRV128</t>
  </si>
  <si>
    <t xml:space="preserve">Para transportar «Salchichas tipo Viena» (Zenú) se debe mantener una temperatura entre 13 °C y 19 °C.</t>
  </si>
  <si>
    <t xml:space="preserve">Falso: el rango de transporte de «Salchichas tipo Viena» es de 0 °C a 4 °C.</t>
  </si>
  <si>
    <t xml:space="preserve">TRV129</t>
  </si>
  <si>
    <t xml:space="preserve">Carulla Bogotá se abastece desde el CD Bogotá.</t>
  </si>
  <si>
    <t xml:space="preserve">Verdadero: Carulla Bogotá recibe mercancía del CD Bogotá.</t>
  </si>
  <si>
    <t xml:space="preserve">TRV130</t>
  </si>
  <si>
    <t xml:space="preserve">La conservación recomendada de «Cebolla cabezona blanca» es: congelado -18 °C.</t>
  </si>
  <si>
    <t xml:space="preserve">Falso: la conservación recomendada de «Cebolla cabezona blanca» es lugar fresco y seco.</t>
  </si>
  <si>
    <t xml:space="preserve">TRV131</t>
  </si>
  <si>
    <t xml:space="preserve">En Éxito Medellín, «Pulpa de mora congelada» tiene un stock por debajo del mínimo y requiere reabastecimiento.</t>
  </si>
  <si>
    <t xml:space="preserve">Falso: el stock (214) está por encima del mínimo (154), estado OK.</t>
  </si>
  <si>
    <t xml:space="preserve">TRV132</t>
  </si>
  <si>
    <t xml:space="preserve">Una estiba de «Lulo» se arma con 100 cajas.</t>
  </si>
  <si>
    <t xml:space="preserve">Verdadero: una estiba de «Lulo» lleva 100 cajas.</t>
  </si>
  <si>
    <t xml:space="preserve">TRV133</t>
  </si>
  <si>
    <t xml:space="preserve">El cross-docking consiste en pasar la mercancía del muelle de recepción al de despacho con muy poco o ningún almacenamiento.</t>
  </si>
  <si>
    <t xml:space="preserve">Reduce tiempos de almacenaje y costos de inventario.</t>
  </si>
  <si>
    <t xml:space="preserve">TRV134</t>
  </si>
  <si>
    <t xml:space="preserve">«Panela cuadrada» (Frescura) no necesita transporte con temperatura controlada.</t>
  </si>
  <si>
    <t xml:space="preserve">Verdadero: «Panela cuadrada» se transporta en condiciones secas/ambiente (15–30 °C), sin cadena de frío.</t>
  </si>
  <si>
    <t xml:space="preserve">TRV135</t>
  </si>
  <si>
    <t xml:space="preserve">Para transportar «Mango Tommy» (Frescura) se debe mantener una temperatura entre 10 °C y 13 °C.</t>
  </si>
  <si>
    <t xml:space="preserve">Verdadero: el rango de transporte de «Mango Tommy» es de 10 °C a 13 °C.</t>
  </si>
  <si>
    <t xml:space="preserve">TRV136</t>
  </si>
  <si>
    <t xml:space="preserve">La vida útil estimada de «Leche entera pasteurizada» es de 10 días.</t>
  </si>
  <si>
    <t xml:space="preserve">Verdadero: la vida útil estimada de «Leche entera pasteurizada» es de 10 días.</t>
  </si>
  <si>
    <t xml:space="preserve">TRV137</t>
  </si>
  <si>
    <t xml:space="preserve">Cada caja de «Aguardiente tradicional» contiene 24 unidades.</t>
  </si>
  <si>
    <t xml:space="preserve">Falso: cada caja de «Aguardiente tradicional» trae 12 unidades.</t>
  </si>
  <si>
    <t xml:space="preserve">TRV138</t>
  </si>
  <si>
    <t xml:space="preserve">Una estiba de «Uchuva con capacho» se arma con 180 cajas.</t>
  </si>
  <si>
    <t xml:space="preserve">Falso: una estiba de «Uchuva con capacho» lleva 120 cajas.</t>
  </si>
  <si>
    <t xml:space="preserve">TRV139</t>
  </si>
  <si>
    <t xml:space="preserve">«Arroz blanco» se despacha desde Ibagué hacia el CD Cali.</t>
  </si>
  <si>
    <t xml:space="preserve">Falso: «Arroz blanco» sale de Ibagué hacia el CD Bogotá (~200 km).</t>
  </si>
  <si>
    <t xml:space="preserve">TRV140</t>
  </si>
  <si>
    <t xml:space="preserve">«Arequipe» (Alpina) tiene origen en Cundinamarca.</t>
  </si>
  <si>
    <t xml:space="preserve">Verdadero: el origen de referencia de «Arequipe» es Cundinamarca.</t>
  </si>
  <si>
    <t xml:space="preserve">TRV141</t>
  </si>
  <si>
    <t xml:space="preserve">«Uchuva con capacho» (Frescura) tiene origen en Santander.</t>
  </si>
  <si>
    <t xml:space="preserve">Falso: el origen de referencia de «Uchuva con capacho» es Cundinamarca.</t>
  </si>
  <si>
    <t xml:space="preserve">TRV142</t>
  </si>
  <si>
    <t xml:space="preserve">Para transportar «Plátano hartón» (Frescura) se debe mantener una temperatura entre 26 °C y 30 °C.</t>
  </si>
  <si>
    <t xml:space="preserve">Falso: el rango de transporte de «Plátano hartón» es de 13 °C a 15 °C.</t>
  </si>
  <si>
    <t xml:space="preserve">TRV143</t>
  </si>
  <si>
    <t xml:space="preserve">Cada caja de «Papas fritas sabor pollo» contiene 36 unidades.</t>
  </si>
  <si>
    <t xml:space="preserve">Verdadero: cada caja de «Papas fritas sabor pollo» trae 36 unidades.</t>
  </si>
  <si>
    <t xml:space="preserve">TRV144</t>
  </si>
  <si>
    <t xml:space="preserve">La vida útil estimada de «Banano premium» es de 7 días.</t>
  </si>
  <si>
    <t xml:space="preserve">Verdadero: la vida útil estimada de «Banano premium» es de 7 días.</t>
  </si>
  <si>
    <t xml:space="preserve">TRV145</t>
  </si>
  <si>
    <t xml:space="preserve">En Éxito Medellín, «Papel higiénico» tiene un stock por debajo del mínimo y requiere reabastecimiento.</t>
  </si>
  <si>
    <t xml:space="preserve">Falso: el stock (174) está por encima del mínimo (126), estado OK.</t>
  </si>
  <si>
    <t xml:space="preserve">TRV146</t>
  </si>
  <si>
    <t xml:space="preserve">Justo &amp; Bueno Bogotá se abastece desde el CD Cartagena.</t>
  </si>
  <si>
    <t xml:space="preserve">Falso: Justo &amp; Bueno Bogotá recibe mercancía del CD Bogotá.</t>
  </si>
  <si>
    <t xml:space="preserve">TRV147</t>
  </si>
  <si>
    <t xml:space="preserve">«Bon Bon Bum surtido» se despacha desde La Paila hacia el CD Cali.</t>
  </si>
  <si>
    <t xml:space="preserve">Falso: «Bon Bon Bum surtido» sale de La Paila hacia el CD Bogotá (~340 km).</t>
  </si>
  <si>
    <t xml:space="preserve">TRV148</t>
  </si>
  <si>
    <t xml:space="preserve">«Pulpa de mora congelada» (Frescura) tiene origen en Tolima.</t>
  </si>
  <si>
    <t xml:space="preserve">Falso: el origen de referencia de «Pulpa de mora congelada» es Santander.</t>
  </si>
  <si>
    <t xml:space="preserve">TRV149</t>
  </si>
  <si>
    <t xml:space="preserve">«Café tostado y molido» (Juan Valdez) debe transportarse congelado a -18 °C.</t>
  </si>
  <si>
    <t xml:space="preserve">Falso: «Café tostado y molido» se transporta en condiciones secas/ambiente (15–30 °C), sin cadena de frío.</t>
  </si>
  <si>
    <t xml:space="preserve">TRV150</t>
  </si>
  <si>
    <t xml:space="preserve">Para transportar «Papa criolla lavada» (Frescura) se debe mantener una temperatura entre 8 °C y 12 °C.</t>
  </si>
  <si>
    <t xml:space="preserve">Verdadero: el rango de transporte de «Papa criolla lavada» es de 8 °C a 12 °C.</t>
  </si>
  <si>
    <t xml:space="preserve">TRV151</t>
  </si>
  <si>
    <t xml:space="preserve">«Huevos AA» (Frescura) no necesita transporte con temperatura controlada.</t>
  </si>
  <si>
    <t xml:space="preserve">Verdadero: «Huevos AA» se transporta en condiciones secas/ambiente (15–25 °C), sin cadena de frío.</t>
  </si>
  <si>
    <t xml:space="preserve">TRV152</t>
  </si>
  <si>
    <t xml:space="preserve">«Banano premium» (Frescura) tiene origen en Cundinamarca.</t>
  </si>
  <si>
    <t xml:space="preserve">Falso: el origen de referencia de «Banano premium» es Antioquia (Urabá).</t>
  </si>
  <si>
    <t xml:space="preserve">TRV153</t>
  </si>
  <si>
    <t xml:space="preserve">El «picking» se refiere únicamente al empaque de mercancía para exportación.</t>
  </si>
  <si>
    <t xml:space="preserve">Picking es recoger los productos del almacén para armar pedidos, sea o no para exportación.</t>
  </si>
  <si>
    <t xml:space="preserve">TRV154</t>
  </si>
  <si>
    <t xml:space="preserve">El vehículo típico para mover «Huevos AA» es: furgón seco.</t>
  </si>
  <si>
    <t xml:space="preserve">Verdadero: el vehículo típico para «Huevos AA» es furgón seco.</t>
  </si>
  <si>
    <t xml:space="preserve">TRV155</t>
  </si>
  <si>
    <t xml:space="preserve">«Bocadillo veleño» (Frescura) tiene origen en Tolima.</t>
  </si>
  <si>
    <t xml:space="preserve">Falso: el origen de referencia de «Bocadillo veleño» es Santander.</t>
  </si>
  <si>
    <t xml:space="preserve">TRV156</t>
  </si>
  <si>
    <t xml:space="preserve">Justo &amp; Bueno Bogotá cuenta con cuarto frío en su bodega.</t>
  </si>
  <si>
    <t xml:space="preserve">Falso: Justo &amp; Bueno Bogotá no tiene cuarto frío, por eso no se le asignan productos refrigerados ni congelados.</t>
  </si>
  <si>
    <t xml:space="preserve">TRV157</t>
  </si>
  <si>
    <t xml:space="preserve">«Arroz blanco» (Diana) debe transportarse congelado a -18 °C.</t>
  </si>
  <si>
    <t xml:space="preserve">Falso: «Arroz blanco» se transporta en condiciones secas/ambiente (15–30 °C), sin cadena de frío.</t>
  </si>
  <si>
    <t xml:space="preserve">TRV158</t>
  </si>
  <si>
    <t xml:space="preserve">La conservación recomendada de «Salchichas tipo Viena» es: congelado -18 °C.</t>
  </si>
  <si>
    <t xml:space="preserve">Falso: la conservación recomendada de «Salchichas tipo Viena» es refrigerado 0–4 °C.</t>
  </si>
  <si>
    <t xml:space="preserve">TRV159</t>
  </si>
  <si>
    <t xml:space="preserve">«Aguardiente tradicional» (Antioqueño) no necesita transporte con temperatura controlada.</t>
  </si>
  <si>
    <t xml:space="preserve">Verdadero: «Aguardiente tradicional» se transporta en condiciones secas/ambiente (15–30 °C), sin cadena de frío.</t>
  </si>
  <si>
    <t xml:space="preserve">TRV160</t>
  </si>
  <si>
    <t xml:space="preserve">Una estiba de «Galletas Saltín» se arma con 165 cajas.</t>
  </si>
  <si>
    <t xml:space="preserve">Falso: una estiba de «Galletas Saltín» lleva 110 cajas.</t>
  </si>
  <si>
    <t xml:space="preserve">TRV161</t>
  </si>
  <si>
    <t xml:space="preserve">Una estiba de «Leche entera pasteurizada» se arma con 84 cajas.</t>
  </si>
  <si>
    <t xml:space="preserve">Falso: una estiba de «Leche entera pasteurizada» lleva 56 cajas.</t>
  </si>
  <si>
    <t xml:space="preserve">TRV162</t>
  </si>
  <si>
    <t xml:space="preserve">Una estiba de «Bocadillo veleño» se arma con 120 cajas.</t>
  </si>
  <si>
    <t xml:space="preserve">Falso: una estiba de «Bocadillo veleño» lleva 80 cajas.</t>
  </si>
  <si>
    <t xml:space="preserve">TRV163</t>
  </si>
  <si>
    <t xml:space="preserve">Olímpica Barranquilla se abastece desde el CD Cartagena.</t>
  </si>
  <si>
    <t xml:space="preserve">Falso: Olímpica Barranquilla recibe mercancía del CD Barranquilla.</t>
  </si>
  <si>
    <t xml:space="preserve">TRV164</t>
  </si>
  <si>
    <t xml:space="preserve">Una estiba de «Queso campesino» se arma con 180 cajas.</t>
  </si>
  <si>
    <t xml:space="preserve">Falso: una estiba de «Queso campesino» lleva 120 cajas.</t>
  </si>
  <si>
    <t xml:space="preserve">TRV165</t>
  </si>
  <si>
    <t xml:space="preserve">Una estiba de «Papa criolla lavada» se arma con 90 cajas.</t>
  </si>
  <si>
    <t xml:space="preserve">Falso: una estiba de «Papa criolla lavada» lleva 60 cajas.</t>
  </si>
  <si>
    <t xml:space="preserve">TRV166</t>
  </si>
  <si>
    <t xml:space="preserve">Una estiba de «Fríjol cargamanto» se arma con 80 cajas.</t>
  </si>
  <si>
    <t xml:space="preserve">Verdadero: una estiba de «Fríjol cargamanto» lleva 80 cajas.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</si>
</sst>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$#,##0"/>
    <numFmt numFmtId="167" formatCode="General"/>
    <numFmt numFmtId="168" formatCode="@"/>
    <numFmt numFmtId="169" formatCode="0.000"/>
    <numFmt numFmtId="170" formatCode="#,##0.00"/>
    <numFmt numFmtId="171" formatCode="#,##0.0"/>
    <numFmt numFmtId="172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3E5C"/>
        <bgColor rgb="FF333399"/>
      </patternFill>
    </fill>
    <fill>
      <patternFill patternType="solid">
        <fgColor rgb="FF7B6BC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6"/>
      </left>
      <right style="thin">
        <color rgb="FFD9DCE6"/>
      </right>
      <top style="thin">
        <color rgb="FFD9DCE6"/>
      </top>
      <bottom style="thin">
        <color rgb="FFD9DC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F3E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B6BC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7B6BC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E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90"/>
  </cols>
  <sheetData>
    <row r="1" customFormat="false" ht="18.5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D4" s="3" t="s">
        <v>4</v>
      </c>
    </row>
    <row r="5" customFormat="false" ht="30" hidden="false" customHeight="true" outlineLevel="0" collapsed="false">
      <c r="A5" s="4" t="s">
        <v>5</v>
      </c>
      <c r="B5" s="5" t="n">
        <f aca="false">COUNTA(Productos!A:A)-1</f>
        <v>30</v>
      </c>
      <c r="D5" s="6" t="s">
        <v>6</v>
      </c>
    </row>
    <row r="6" customFormat="false" ht="30" hidden="false" customHeight="true" outlineLevel="0" collapsed="false">
      <c r="A6" s="4" t="s">
        <v>7</v>
      </c>
      <c r="B6" s="5" t="n">
        <f aca="false">COUNTA(Tiendas!A:A)-1</f>
        <v>11</v>
      </c>
      <c r="D6" s="6" t="s">
        <v>8</v>
      </c>
    </row>
    <row r="7" customFormat="false" ht="30" hidden="false" customHeight="true" outlineLevel="0" collapsed="false">
      <c r="A7" s="4" t="s">
        <v>9</v>
      </c>
      <c r="B7" s="5" t="n">
        <f aca="false">COUNTA(Inventario!A:A)-1</f>
        <v>90</v>
      </c>
      <c r="D7" s="6" t="s">
        <v>10</v>
      </c>
    </row>
    <row r="8" customFormat="false" ht="30" hidden="false" customHeight="true" outlineLevel="0" collapsed="false">
      <c r="A8" s="4" t="s">
        <v>11</v>
      </c>
      <c r="B8" s="5" t="n">
        <f aca="false">COUNTIF(Inventario!J:J,"Reabastecer")</f>
        <v>27</v>
      </c>
      <c r="D8" s="6" t="s">
        <v>12</v>
      </c>
    </row>
    <row r="9" customFormat="false" ht="30" hidden="false" customHeight="true" outlineLevel="0" collapsed="false">
      <c r="A9" s="4" t="s">
        <v>13</v>
      </c>
      <c r="B9" s="7" t="n">
        <f aca="false">SUM(Inventario!K:K)</f>
        <v>125434800</v>
      </c>
      <c r="D9" s="6" t="s">
        <v>14</v>
      </c>
    </row>
    <row r="10" customFormat="false" ht="30" hidden="false" customHeight="true" outlineLevel="0" collapsed="false">
      <c r="A10" s="4" t="s">
        <v>15</v>
      </c>
      <c r="B10" s="5" t="n">
        <f aca="false">COUNTIF(Logística!J:J,"Sí")</f>
        <v>12</v>
      </c>
      <c r="D10" s="6" t="s">
        <v>16</v>
      </c>
    </row>
    <row r="11" customFormat="false" ht="30" hidden="false" customHeight="true" outlineLevel="0" collapsed="false">
      <c r="A11" s="4" t="s">
        <v>17</v>
      </c>
      <c r="B11" s="5" t="n">
        <f aca="false">COUNTA(Trivia!A:A)-1</f>
        <v>166</v>
      </c>
      <c r="D11" s="6" t="s">
        <v>18</v>
      </c>
    </row>
    <row r="12" customFormat="false" ht="30" hidden="false" customHeight="true" outlineLevel="0" collapsed="false">
      <c r="A12" s="4" t="s">
        <v>19</v>
      </c>
      <c r="B12" s="5" t="n">
        <f aca="false">COUNTIF(Trivia!D:D,"Verdadero")</f>
        <v>85</v>
      </c>
      <c r="D12" s="6" t="s">
        <v>20</v>
      </c>
    </row>
    <row r="13" customFormat="false" ht="15" hidden="false" customHeight="false" outlineLevel="0" collapsed="false">
      <c r="A13" s="4" t="s">
        <v>21</v>
      </c>
      <c r="B13" s="5" t="n">
        <f aca="false">COUNTIF(Trivia!D:D,"Falso")</f>
        <v>81</v>
      </c>
    </row>
    <row r="15" customFormat="false" ht="15" hidden="false" customHeight="false" outlineLevel="0" collapsed="false">
      <c r="A15" s="3" t="s">
        <v>22</v>
      </c>
      <c r="B15" s="3" t="s">
        <v>23</v>
      </c>
    </row>
    <row r="16" customFormat="false" ht="15" hidden="false" customHeight="false" outlineLevel="0" collapsed="false">
      <c r="A16" s="4" t="s">
        <v>24</v>
      </c>
      <c r="B16" s="8" t="n">
        <f aca="false">COUNTIF(Trivia!B:B,A16)</f>
        <v>30</v>
      </c>
    </row>
    <row r="17" customFormat="false" ht="15" hidden="false" customHeight="false" outlineLevel="0" collapsed="false">
      <c r="A17" s="4" t="s">
        <v>25</v>
      </c>
      <c r="B17" s="8" t="n">
        <f aca="false">COUNTIF(Trivia!B:B,A17)</f>
        <v>30</v>
      </c>
    </row>
    <row r="18" customFormat="false" ht="15" hidden="false" customHeight="false" outlineLevel="0" collapsed="false">
      <c r="A18" s="4" t="s">
        <v>26</v>
      </c>
      <c r="B18" s="8" t="n">
        <f aca="false">COUNTIF(Trivia!B:B,A18)</f>
        <v>8</v>
      </c>
    </row>
    <row r="19" customFormat="false" ht="15" hidden="false" customHeight="false" outlineLevel="0" collapsed="false">
      <c r="A19" s="4" t="s">
        <v>27</v>
      </c>
      <c r="B19" s="8" t="n">
        <f aca="false">COUNTIF(Trivia!B:B,A19)</f>
        <v>15</v>
      </c>
    </row>
    <row r="20" customFormat="false" ht="15" hidden="false" customHeight="false" outlineLevel="0" collapsed="false">
      <c r="A20" s="4" t="s">
        <v>28</v>
      </c>
      <c r="B20" s="8" t="n">
        <f aca="false">COUNTIF(Trivia!B:B,A20)</f>
        <v>37</v>
      </c>
    </row>
    <row r="21" customFormat="false" ht="15" hidden="false" customHeight="false" outlineLevel="0" collapsed="false">
      <c r="A21" s="4" t="s">
        <v>29</v>
      </c>
      <c r="B21" s="8" t="n">
        <f aca="false">COUNTIF(Trivia!B:B,A21)</f>
        <v>26</v>
      </c>
    </row>
    <row r="22" customFormat="false" ht="15" hidden="false" customHeight="false" outlineLevel="0" collapsed="false">
      <c r="A22" s="4" t="s">
        <v>30</v>
      </c>
      <c r="B22" s="8" t="n">
        <f aca="false">COUNTIF(Trivia!B:B,A22)</f>
        <v>20</v>
      </c>
    </row>
    <row r="24" customFormat="false" ht="15" hidden="false" customHeight="false" outlineLevel="0" collapsed="false">
      <c r="A24" s="3" t="s">
        <v>31</v>
      </c>
      <c r="B24" s="3" t="s">
        <v>23</v>
      </c>
    </row>
    <row r="25" customFormat="false" ht="15" hidden="false" customHeight="false" outlineLevel="0" collapsed="false">
      <c r="A25" s="4" t="s">
        <v>32</v>
      </c>
      <c r="B25" s="8" t="n">
        <f aca="false">COUNTIF(Trivia!F:F,A25)</f>
        <v>82</v>
      </c>
    </row>
    <row r="26" customFormat="false" ht="15" hidden="false" customHeight="false" outlineLevel="0" collapsed="false">
      <c r="A26" s="4" t="s">
        <v>33</v>
      </c>
      <c r="B26" s="8" t="n">
        <f aca="false">COUNTIF(Trivia!F:F,A26)</f>
        <v>52</v>
      </c>
    </row>
    <row r="27" customFormat="false" ht="15" hidden="false" customHeight="false" outlineLevel="0" collapsed="false">
      <c r="A27" s="4" t="s">
        <v>34</v>
      </c>
      <c r="B27" s="8" t="n">
        <f aca="false">COUNTIF(Trivia!F:F,A27)</f>
        <v>32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8" min="6" style="0" width="13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8"/>
  </cols>
  <sheetData>
    <row r="1" customFormat="false" ht="33.7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9" t="s">
        <v>45</v>
      </c>
      <c r="L1" s="9" t="s">
        <v>46</v>
      </c>
      <c r="M1" s="9" t="s">
        <v>47</v>
      </c>
    </row>
    <row r="2" customFormat="false" ht="15" hidden="false" customHeight="false" outlineLevel="0" collapsed="false">
      <c r="A2" s="10" t="s">
        <v>48</v>
      </c>
      <c r="B2" s="11" t="s">
        <v>49</v>
      </c>
      <c r="C2" s="11" t="s">
        <v>50</v>
      </c>
      <c r="D2" s="11" t="s">
        <v>51</v>
      </c>
      <c r="E2" s="11" t="s">
        <v>52</v>
      </c>
      <c r="F2" s="11" t="s">
        <v>53</v>
      </c>
      <c r="G2" s="11" t="s">
        <v>54</v>
      </c>
      <c r="H2" s="11" t="s">
        <v>55</v>
      </c>
      <c r="I2" s="11" t="s">
        <v>56</v>
      </c>
      <c r="J2" s="11" t="s">
        <v>57</v>
      </c>
      <c r="K2" s="11" t="s">
        <v>54</v>
      </c>
      <c r="L2" s="11" t="s">
        <v>58</v>
      </c>
      <c r="M2" s="12" t="s">
        <v>59</v>
      </c>
    </row>
    <row r="3" customFormat="false" ht="15" hidden="false" customHeight="false" outlineLevel="0" collapsed="false">
      <c r="A3" s="10" t="s">
        <v>60</v>
      </c>
      <c r="B3" s="11" t="s">
        <v>61</v>
      </c>
      <c r="C3" s="11" t="s">
        <v>50</v>
      </c>
      <c r="D3" s="11" t="s">
        <v>51</v>
      </c>
      <c r="E3" s="11" t="s">
        <v>62</v>
      </c>
      <c r="F3" s="11" t="s">
        <v>53</v>
      </c>
      <c r="G3" s="11" t="s">
        <v>54</v>
      </c>
      <c r="H3" s="11" t="s">
        <v>63</v>
      </c>
      <c r="I3" s="11" t="s">
        <v>56</v>
      </c>
      <c r="J3" s="11" t="s">
        <v>57</v>
      </c>
      <c r="K3" s="11" t="s">
        <v>64</v>
      </c>
      <c r="L3" s="11" t="s">
        <v>65</v>
      </c>
      <c r="M3" s="12" t="s">
        <v>66</v>
      </c>
    </row>
    <row r="4" customFormat="false" ht="15" hidden="false" customHeight="false" outlineLevel="0" collapsed="false">
      <c r="A4" s="10" t="s">
        <v>67</v>
      </c>
      <c r="B4" s="11" t="s">
        <v>68</v>
      </c>
      <c r="C4" s="11" t="s">
        <v>50</v>
      </c>
      <c r="D4" s="11" t="s">
        <v>69</v>
      </c>
      <c r="E4" s="11" t="s">
        <v>70</v>
      </c>
      <c r="F4" s="11" t="s">
        <v>53</v>
      </c>
      <c r="G4" s="11" t="s">
        <v>71</v>
      </c>
      <c r="H4" s="11" t="s">
        <v>72</v>
      </c>
      <c r="I4" s="11" t="s">
        <v>73</v>
      </c>
      <c r="J4" s="11" t="s">
        <v>74</v>
      </c>
      <c r="K4" s="11" t="s">
        <v>75</v>
      </c>
      <c r="L4" s="11" t="s">
        <v>76</v>
      </c>
      <c r="M4" s="12" t="s">
        <v>77</v>
      </c>
    </row>
    <row r="5" customFormat="false" ht="15" hidden="false" customHeight="false" outlineLevel="0" collapsed="false">
      <c r="A5" s="10" t="s">
        <v>78</v>
      </c>
      <c r="B5" s="11" t="s">
        <v>79</v>
      </c>
      <c r="C5" s="11" t="s">
        <v>50</v>
      </c>
      <c r="D5" s="11" t="s">
        <v>51</v>
      </c>
      <c r="E5" s="11" t="s">
        <v>80</v>
      </c>
      <c r="F5" s="11" t="s">
        <v>53</v>
      </c>
      <c r="G5" s="11" t="s">
        <v>54</v>
      </c>
      <c r="H5" s="11" t="s">
        <v>81</v>
      </c>
      <c r="I5" s="11" t="s">
        <v>56</v>
      </c>
      <c r="J5" s="11" t="s">
        <v>57</v>
      </c>
      <c r="K5" s="11" t="s">
        <v>54</v>
      </c>
      <c r="L5" s="11" t="s">
        <v>82</v>
      </c>
      <c r="M5" s="12" t="s">
        <v>59</v>
      </c>
    </row>
    <row r="6" customFormat="false" ht="15" hidden="false" customHeight="false" outlineLevel="0" collapsed="false">
      <c r="A6" s="10" t="s">
        <v>83</v>
      </c>
      <c r="B6" s="11" t="s">
        <v>84</v>
      </c>
      <c r="C6" s="11" t="s">
        <v>50</v>
      </c>
      <c r="D6" s="11" t="s">
        <v>51</v>
      </c>
      <c r="E6" s="11" t="s">
        <v>85</v>
      </c>
      <c r="F6" s="11" t="s">
        <v>53</v>
      </c>
      <c r="G6" s="11" t="s">
        <v>86</v>
      </c>
      <c r="H6" s="11" t="s">
        <v>87</v>
      </c>
      <c r="I6" s="11" t="s">
        <v>88</v>
      </c>
      <c r="J6" s="11" t="s">
        <v>57</v>
      </c>
      <c r="K6" s="11" t="s">
        <v>89</v>
      </c>
      <c r="L6" s="11" t="s">
        <v>76</v>
      </c>
      <c r="M6" s="12" t="s">
        <v>90</v>
      </c>
    </row>
    <row r="7" customFormat="false" ht="15" hidden="false" customHeight="false" outlineLevel="0" collapsed="false">
      <c r="A7" s="10" t="s">
        <v>91</v>
      </c>
      <c r="B7" s="11" t="s">
        <v>92</v>
      </c>
      <c r="C7" s="11" t="s">
        <v>50</v>
      </c>
      <c r="D7" s="11" t="s">
        <v>51</v>
      </c>
      <c r="E7" s="11" t="s">
        <v>93</v>
      </c>
      <c r="F7" s="11" t="s">
        <v>53</v>
      </c>
      <c r="G7" s="11" t="s">
        <v>71</v>
      </c>
      <c r="H7" s="11" t="s">
        <v>94</v>
      </c>
      <c r="I7" s="11" t="s">
        <v>95</v>
      </c>
      <c r="J7" s="11" t="s">
        <v>57</v>
      </c>
      <c r="K7" s="11" t="s">
        <v>75</v>
      </c>
      <c r="L7" s="11" t="s">
        <v>96</v>
      </c>
      <c r="M7" s="12" t="s">
        <v>97</v>
      </c>
    </row>
    <row r="8" customFormat="false" ht="15" hidden="false" customHeight="false" outlineLevel="0" collapsed="false">
      <c r="A8" s="10" t="s">
        <v>98</v>
      </c>
      <c r="B8" s="11" t="s">
        <v>99</v>
      </c>
      <c r="C8" s="11" t="s">
        <v>50</v>
      </c>
      <c r="D8" s="11" t="s">
        <v>51</v>
      </c>
      <c r="E8" s="11" t="s">
        <v>100</v>
      </c>
      <c r="F8" s="11" t="s">
        <v>53</v>
      </c>
      <c r="G8" s="11" t="s">
        <v>54</v>
      </c>
      <c r="H8" s="11" t="s">
        <v>101</v>
      </c>
      <c r="I8" s="11" t="s">
        <v>56</v>
      </c>
      <c r="J8" s="11" t="s">
        <v>57</v>
      </c>
      <c r="K8" s="11" t="s">
        <v>54</v>
      </c>
      <c r="L8" s="11" t="s">
        <v>102</v>
      </c>
      <c r="M8" s="12" t="s">
        <v>103</v>
      </c>
    </row>
    <row r="9" customFormat="false" ht="15" hidden="false" customHeight="false" outlineLevel="0" collapsed="false">
      <c r="A9" s="10" t="s">
        <v>104</v>
      </c>
      <c r="B9" s="11" t="s">
        <v>105</v>
      </c>
      <c r="C9" s="11" t="s">
        <v>50</v>
      </c>
      <c r="D9" s="11" t="s">
        <v>106</v>
      </c>
      <c r="E9" s="11" t="s">
        <v>107</v>
      </c>
      <c r="F9" s="11" t="s">
        <v>53</v>
      </c>
      <c r="G9" s="11" t="s">
        <v>54</v>
      </c>
      <c r="H9" s="11" t="s">
        <v>108</v>
      </c>
      <c r="I9" s="11" t="s">
        <v>73</v>
      </c>
      <c r="J9" s="11" t="s">
        <v>109</v>
      </c>
      <c r="K9" s="11" t="s">
        <v>110</v>
      </c>
      <c r="L9" s="11" t="s">
        <v>111</v>
      </c>
      <c r="M9" s="12" t="s">
        <v>112</v>
      </c>
    </row>
    <row r="10" customFormat="false" ht="15" hidden="false" customHeight="false" outlineLevel="0" collapsed="false">
      <c r="A10" s="10" t="s">
        <v>113</v>
      </c>
      <c r="B10" s="11" t="s">
        <v>114</v>
      </c>
      <c r="C10" s="11" t="s">
        <v>115</v>
      </c>
      <c r="D10" s="11" t="s">
        <v>116</v>
      </c>
      <c r="E10" s="11" t="s">
        <v>117</v>
      </c>
      <c r="F10" s="11" t="s">
        <v>118</v>
      </c>
      <c r="G10" s="11" t="s">
        <v>119</v>
      </c>
      <c r="H10" s="11" t="s">
        <v>120</v>
      </c>
      <c r="I10" s="11" t="s">
        <v>88</v>
      </c>
      <c r="J10" s="11" t="s">
        <v>121</v>
      </c>
      <c r="K10" s="11" t="s">
        <v>122</v>
      </c>
      <c r="L10" s="11" t="s">
        <v>65</v>
      </c>
      <c r="M10" s="12" t="s">
        <v>123</v>
      </c>
    </row>
    <row r="11" customFormat="false" ht="15" hidden="false" customHeight="false" outlineLevel="0" collapsed="false">
      <c r="A11" s="10" t="s">
        <v>124</v>
      </c>
      <c r="B11" s="11" t="s">
        <v>125</v>
      </c>
      <c r="C11" s="11" t="s">
        <v>115</v>
      </c>
      <c r="D11" s="11" t="s">
        <v>126</v>
      </c>
      <c r="E11" s="11" t="s">
        <v>127</v>
      </c>
      <c r="F11" s="11" t="s">
        <v>128</v>
      </c>
      <c r="G11" s="11" t="s">
        <v>119</v>
      </c>
      <c r="H11" s="11" t="s">
        <v>129</v>
      </c>
      <c r="I11" s="11" t="s">
        <v>88</v>
      </c>
      <c r="J11" s="11" t="s">
        <v>121</v>
      </c>
      <c r="K11" s="11" t="s">
        <v>122</v>
      </c>
      <c r="L11" s="11" t="s">
        <v>76</v>
      </c>
      <c r="M11" s="12" t="s">
        <v>123</v>
      </c>
    </row>
    <row r="12" customFormat="false" ht="15" hidden="false" customHeight="false" outlineLevel="0" collapsed="false">
      <c r="A12" s="10" t="s">
        <v>130</v>
      </c>
      <c r="B12" s="11" t="s">
        <v>131</v>
      </c>
      <c r="C12" s="11" t="s">
        <v>115</v>
      </c>
      <c r="D12" s="11" t="s">
        <v>132</v>
      </c>
      <c r="E12" s="11" t="s">
        <v>133</v>
      </c>
      <c r="F12" s="11" t="s">
        <v>118</v>
      </c>
      <c r="G12" s="11" t="s">
        <v>71</v>
      </c>
      <c r="H12" s="11" t="s">
        <v>134</v>
      </c>
      <c r="I12" s="11" t="s">
        <v>88</v>
      </c>
      <c r="J12" s="11" t="s">
        <v>121</v>
      </c>
      <c r="K12" s="11" t="s">
        <v>135</v>
      </c>
      <c r="L12" s="11" t="s">
        <v>65</v>
      </c>
      <c r="M12" s="12" t="s">
        <v>136</v>
      </c>
    </row>
    <row r="13" customFormat="false" ht="15" hidden="false" customHeight="false" outlineLevel="0" collapsed="false">
      <c r="A13" s="10" t="s">
        <v>137</v>
      </c>
      <c r="B13" s="11" t="s">
        <v>138</v>
      </c>
      <c r="C13" s="11" t="s">
        <v>139</v>
      </c>
      <c r="D13" s="11" t="s">
        <v>140</v>
      </c>
      <c r="E13" s="11" t="s">
        <v>141</v>
      </c>
      <c r="F13" s="11" t="s">
        <v>142</v>
      </c>
      <c r="G13" s="11" t="s">
        <v>143</v>
      </c>
      <c r="H13" s="11" t="s">
        <v>144</v>
      </c>
      <c r="I13" s="11" t="s">
        <v>145</v>
      </c>
      <c r="J13" s="11" t="s">
        <v>146</v>
      </c>
      <c r="K13" s="11" t="s">
        <v>147</v>
      </c>
      <c r="L13" s="11" t="s">
        <v>65</v>
      </c>
      <c r="M13" s="12" t="s">
        <v>148</v>
      </c>
    </row>
    <row r="14" customFormat="false" ht="15" hidden="false" customHeight="false" outlineLevel="0" collapsed="false">
      <c r="A14" s="10" t="s">
        <v>149</v>
      </c>
      <c r="B14" s="11" t="s">
        <v>150</v>
      </c>
      <c r="C14" s="11" t="s">
        <v>151</v>
      </c>
      <c r="D14" s="11" t="s">
        <v>152</v>
      </c>
      <c r="E14" s="11" t="s">
        <v>153</v>
      </c>
      <c r="F14" s="11" t="s">
        <v>53</v>
      </c>
      <c r="G14" s="11" t="s">
        <v>71</v>
      </c>
      <c r="H14" s="11" t="s">
        <v>154</v>
      </c>
      <c r="I14" s="11" t="s">
        <v>155</v>
      </c>
      <c r="J14" s="11" t="s">
        <v>156</v>
      </c>
      <c r="K14" s="11" t="s">
        <v>75</v>
      </c>
      <c r="L14" s="11" t="s">
        <v>157</v>
      </c>
      <c r="M14" s="12" t="s">
        <v>158</v>
      </c>
    </row>
    <row r="15" customFormat="false" ht="15" hidden="false" customHeight="false" outlineLevel="0" collapsed="false">
      <c r="A15" s="10" t="s">
        <v>159</v>
      </c>
      <c r="B15" s="11" t="s">
        <v>160</v>
      </c>
      <c r="C15" s="11" t="s">
        <v>161</v>
      </c>
      <c r="D15" s="11" t="s">
        <v>162</v>
      </c>
      <c r="E15" s="11" t="s">
        <v>163</v>
      </c>
      <c r="F15" s="11" t="s">
        <v>164</v>
      </c>
      <c r="G15" s="11" t="s">
        <v>54</v>
      </c>
      <c r="H15" s="11" t="s">
        <v>165</v>
      </c>
      <c r="I15" s="11" t="s">
        <v>73</v>
      </c>
      <c r="J15" s="11" t="s">
        <v>166</v>
      </c>
      <c r="K15" s="11" t="s">
        <v>64</v>
      </c>
      <c r="L15" s="11" t="s">
        <v>102</v>
      </c>
      <c r="M15" s="12" t="s">
        <v>167</v>
      </c>
    </row>
    <row r="16" customFormat="false" ht="15" hidden="false" customHeight="false" outlineLevel="0" collapsed="false">
      <c r="A16" s="10" t="s">
        <v>168</v>
      </c>
      <c r="B16" s="11" t="s">
        <v>169</v>
      </c>
      <c r="C16" s="11" t="s">
        <v>161</v>
      </c>
      <c r="D16" s="11" t="s">
        <v>170</v>
      </c>
      <c r="E16" s="11" t="s">
        <v>171</v>
      </c>
      <c r="F16" s="11" t="s">
        <v>53</v>
      </c>
      <c r="G16" s="11" t="s">
        <v>54</v>
      </c>
      <c r="H16" s="11" t="s">
        <v>172</v>
      </c>
      <c r="I16" s="11" t="s">
        <v>73</v>
      </c>
      <c r="J16" s="11" t="s">
        <v>173</v>
      </c>
      <c r="K16" s="11" t="s">
        <v>174</v>
      </c>
      <c r="L16" s="11" t="s">
        <v>76</v>
      </c>
      <c r="M16" s="12" t="s">
        <v>175</v>
      </c>
    </row>
    <row r="17" customFormat="false" ht="15" hidden="false" customHeight="false" outlineLevel="0" collapsed="false">
      <c r="A17" s="10" t="s">
        <v>176</v>
      </c>
      <c r="B17" s="11" t="s">
        <v>177</v>
      </c>
      <c r="C17" s="11" t="s">
        <v>161</v>
      </c>
      <c r="D17" s="11" t="s">
        <v>178</v>
      </c>
      <c r="E17" s="11" t="s">
        <v>179</v>
      </c>
      <c r="F17" s="11" t="s">
        <v>180</v>
      </c>
      <c r="G17" s="11" t="s">
        <v>181</v>
      </c>
      <c r="H17" s="11" t="s">
        <v>182</v>
      </c>
      <c r="I17" s="11" t="s">
        <v>73</v>
      </c>
      <c r="J17" s="11" t="s">
        <v>183</v>
      </c>
      <c r="K17" s="11" t="s">
        <v>184</v>
      </c>
      <c r="L17" s="11" t="s">
        <v>96</v>
      </c>
      <c r="M17" s="12" t="s">
        <v>185</v>
      </c>
    </row>
    <row r="18" customFormat="false" ht="15" hidden="false" customHeight="false" outlineLevel="0" collapsed="false">
      <c r="A18" s="10" t="s">
        <v>186</v>
      </c>
      <c r="B18" s="11" t="s">
        <v>187</v>
      </c>
      <c r="C18" s="11" t="s">
        <v>161</v>
      </c>
      <c r="D18" s="11" t="s">
        <v>178</v>
      </c>
      <c r="E18" s="11" t="s">
        <v>188</v>
      </c>
      <c r="F18" s="11" t="s">
        <v>189</v>
      </c>
      <c r="G18" s="11" t="s">
        <v>190</v>
      </c>
      <c r="H18" s="11" t="s">
        <v>191</v>
      </c>
      <c r="I18" s="11" t="s">
        <v>73</v>
      </c>
      <c r="J18" s="11" t="s">
        <v>192</v>
      </c>
      <c r="K18" s="11" t="s">
        <v>193</v>
      </c>
      <c r="L18" s="11" t="s">
        <v>65</v>
      </c>
      <c r="M18" s="12" t="s">
        <v>185</v>
      </c>
    </row>
    <row r="19" customFormat="false" ht="15" hidden="false" customHeight="false" outlineLevel="0" collapsed="false">
      <c r="A19" s="10" t="s">
        <v>194</v>
      </c>
      <c r="B19" s="11" t="s">
        <v>195</v>
      </c>
      <c r="C19" s="11" t="s">
        <v>161</v>
      </c>
      <c r="D19" s="11" t="s">
        <v>196</v>
      </c>
      <c r="E19" s="11" t="s">
        <v>197</v>
      </c>
      <c r="F19" s="11" t="s">
        <v>198</v>
      </c>
      <c r="G19" s="11" t="s">
        <v>71</v>
      </c>
      <c r="H19" s="11" t="s">
        <v>199</v>
      </c>
      <c r="I19" s="11" t="s">
        <v>73</v>
      </c>
      <c r="J19" s="11" t="s">
        <v>195</v>
      </c>
      <c r="K19" s="11" t="s">
        <v>200</v>
      </c>
      <c r="L19" s="11" t="s">
        <v>65</v>
      </c>
      <c r="M19" s="12" t="s">
        <v>201</v>
      </c>
    </row>
    <row r="20" customFormat="false" ht="15" hidden="false" customHeight="false" outlineLevel="0" collapsed="false">
      <c r="A20" s="10" t="s">
        <v>202</v>
      </c>
      <c r="B20" s="11" t="s">
        <v>203</v>
      </c>
      <c r="C20" s="11" t="s">
        <v>161</v>
      </c>
      <c r="D20" s="11" t="s">
        <v>204</v>
      </c>
      <c r="E20" s="11" t="s">
        <v>205</v>
      </c>
      <c r="F20" s="11" t="s">
        <v>206</v>
      </c>
      <c r="G20" s="11" t="s">
        <v>207</v>
      </c>
      <c r="H20" s="11" t="s">
        <v>208</v>
      </c>
      <c r="I20" s="11" t="s">
        <v>56</v>
      </c>
      <c r="J20" s="11" t="s">
        <v>209</v>
      </c>
      <c r="K20" s="11" t="s">
        <v>210</v>
      </c>
      <c r="L20" s="11" t="s">
        <v>211</v>
      </c>
      <c r="M20" s="12" t="s">
        <v>212</v>
      </c>
    </row>
    <row r="21" customFormat="false" ht="15" hidden="false" customHeight="false" outlineLevel="0" collapsed="false">
      <c r="A21" s="10" t="s">
        <v>213</v>
      </c>
      <c r="B21" s="11" t="s">
        <v>214</v>
      </c>
      <c r="C21" s="11" t="s">
        <v>161</v>
      </c>
      <c r="D21" s="11" t="s">
        <v>162</v>
      </c>
      <c r="E21" s="11" t="s">
        <v>215</v>
      </c>
      <c r="F21" s="11" t="s">
        <v>53</v>
      </c>
      <c r="G21" s="11" t="s">
        <v>71</v>
      </c>
      <c r="H21" s="11" t="s">
        <v>216</v>
      </c>
      <c r="I21" s="11" t="s">
        <v>73</v>
      </c>
      <c r="J21" s="11" t="s">
        <v>217</v>
      </c>
      <c r="K21" s="11" t="s">
        <v>75</v>
      </c>
      <c r="L21" s="11" t="s">
        <v>65</v>
      </c>
      <c r="M21" s="12" t="s">
        <v>218</v>
      </c>
    </row>
    <row r="22" customFormat="false" ht="15" hidden="false" customHeight="false" outlineLevel="0" collapsed="false">
      <c r="A22" s="10" t="s">
        <v>219</v>
      </c>
      <c r="B22" s="11" t="s">
        <v>220</v>
      </c>
      <c r="C22" s="11" t="s">
        <v>161</v>
      </c>
      <c r="D22" s="11" t="s">
        <v>221</v>
      </c>
      <c r="E22" s="11" t="s">
        <v>222</v>
      </c>
      <c r="F22" s="11" t="s">
        <v>53</v>
      </c>
      <c r="G22" s="11" t="s">
        <v>223</v>
      </c>
      <c r="H22" s="11" t="s">
        <v>224</v>
      </c>
      <c r="I22" s="11" t="s">
        <v>56</v>
      </c>
      <c r="J22" s="11" t="s">
        <v>225</v>
      </c>
      <c r="K22" s="11" t="s">
        <v>226</v>
      </c>
      <c r="L22" s="11" t="s">
        <v>157</v>
      </c>
      <c r="M22" s="12" t="s">
        <v>227</v>
      </c>
    </row>
    <row r="23" customFormat="false" ht="15" hidden="false" customHeight="false" outlineLevel="0" collapsed="false">
      <c r="A23" s="10" t="s">
        <v>228</v>
      </c>
      <c r="B23" s="11" t="s">
        <v>229</v>
      </c>
      <c r="C23" s="11" t="s">
        <v>161</v>
      </c>
      <c r="D23" s="11" t="s">
        <v>221</v>
      </c>
      <c r="E23" s="11" t="s">
        <v>230</v>
      </c>
      <c r="F23" s="11" t="s">
        <v>128</v>
      </c>
      <c r="G23" s="11" t="s">
        <v>86</v>
      </c>
      <c r="H23" s="11" t="s">
        <v>231</v>
      </c>
      <c r="I23" s="11" t="s">
        <v>56</v>
      </c>
      <c r="J23" s="11" t="s">
        <v>232</v>
      </c>
      <c r="K23" s="11" t="s">
        <v>233</v>
      </c>
      <c r="L23" s="11" t="s">
        <v>76</v>
      </c>
      <c r="M23" s="12" t="s">
        <v>234</v>
      </c>
    </row>
    <row r="24" customFormat="false" ht="15" hidden="false" customHeight="false" outlineLevel="0" collapsed="false">
      <c r="A24" s="10" t="s">
        <v>235</v>
      </c>
      <c r="B24" s="11" t="s">
        <v>236</v>
      </c>
      <c r="C24" s="11" t="s">
        <v>161</v>
      </c>
      <c r="D24" s="11" t="s">
        <v>237</v>
      </c>
      <c r="E24" s="11" t="s">
        <v>238</v>
      </c>
      <c r="F24" s="11" t="s">
        <v>53</v>
      </c>
      <c r="G24" s="11" t="s">
        <v>239</v>
      </c>
      <c r="H24" s="11" t="s">
        <v>240</v>
      </c>
      <c r="I24" s="11" t="s">
        <v>73</v>
      </c>
      <c r="J24" s="11" t="s">
        <v>241</v>
      </c>
      <c r="K24" s="11" t="s">
        <v>242</v>
      </c>
      <c r="L24" s="11" t="s">
        <v>157</v>
      </c>
      <c r="M24" s="12" t="s">
        <v>243</v>
      </c>
    </row>
    <row r="25" customFormat="false" ht="15" hidden="false" customHeight="false" outlineLevel="0" collapsed="false">
      <c r="A25" s="10" t="s">
        <v>244</v>
      </c>
      <c r="B25" s="11" t="s">
        <v>245</v>
      </c>
      <c r="C25" s="11" t="s">
        <v>246</v>
      </c>
      <c r="D25" s="11" t="s">
        <v>247</v>
      </c>
      <c r="E25" s="11" t="s">
        <v>248</v>
      </c>
      <c r="F25" s="11" t="s">
        <v>249</v>
      </c>
      <c r="G25" s="11" t="s">
        <v>250</v>
      </c>
      <c r="H25" s="11" t="s">
        <v>251</v>
      </c>
      <c r="I25" s="11" t="s">
        <v>56</v>
      </c>
      <c r="J25" s="11" t="s">
        <v>252</v>
      </c>
      <c r="K25" s="11" t="s">
        <v>253</v>
      </c>
      <c r="L25" s="11" t="s">
        <v>65</v>
      </c>
      <c r="M25" s="12" t="s">
        <v>254</v>
      </c>
    </row>
    <row r="26" customFormat="false" ht="15" hidden="false" customHeight="false" outlineLevel="0" collapsed="false">
      <c r="A26" s="10" t="s">
        <v>255</v>
      </c>
      <c r="B26" s="11" t="s">
        <v>256</v>
      </c>
      <c r="C26" s="11" t="s">
        <v>246</v>
      </c>
      <c r="D26" s="11" t="s">
        <v>257</v>
      </c>
      <c r="E26" s="11" t="s">
        <v>258</v>
      </c>
      <c r="F26" s="11" t="s">
        <v>259</v>
      </c>
      <c r="G26" s="11" t="s">
        <v>260</v>
      </c>
      <c r="H26" s="11" t="s">
        <v>261</v>
      </c>
      <c r="I26" s="11" t="s">
        <v>56</v>
      </c>
      <c r="J26" s="11" t="s">
        <v>262</v>
      </c>
      <c r="K26" s="11" t="s">
        <v>263</v>
      </c>
      <c r="L26" s="11" t="s">
        <v>65</v>
      </c>
      <c r="M26" s="12" t="s">
        <v>264</v>
      </c>
    </row>
    <row r="27" customFormat="false" ht="15" hidden="false" customHeight="false" outlineLevel="0" collapsed="false">
      <c r="A27" s="10" t="s">
        <v>265</v>
      </c>
      <c r="B27" s="11" t="s">
        <v>266</v>
      </c>
      <c r="C27" s="11" t="s">
        <v>267</v>
      </c>
      <c r="D27" s="11" t="s">
        <v>268</v>
      </c>
      <c r="E27" s="11" t="s">
        <v>269</v>
      </c>
      <c r="F27" s="11" t="s">
        <v>270</v>
      </c>
      <c r="G27" s="11" t="s">
        <v>271</v>
      </c>
      <c r="H27" s="11" t="s">
        <v>272</v>
      </c>
      <c r="I27" s="11" t="s">
        <v>73</v>
      </c>
      <c r="J27" s="11" t="s">
        <v>268</v>
      </c>
      <c r="K27" s="11" t="s">
        <v>273</v>
      </c>
      <c r="L27" s="11" t="s">
        <v>211</v>
      </c>
      <c r="M27" s="12" t="s">
        <v>274</v>
      </c>
    </row>
    <row r="28" customFormat="false" ht="15" hidden="false" customHeight="false" outlineLevel="0" collapsed="false">
      <c r="A28" s="10" t="s">
        <v>275</v>
      </c>
      <c r="B28" s="11" t="s">
        <v>276</v>
      </c>
      <c r="C28" s="11" t="s">
        <v>267</v>
      </c>
      <c r="D28" s="11" t="s">
        <v>277</v>
      </c>
      <c r="E28" s="11" t="s">
        <v>278</v>
      </c>
      <c r="F28" s="11" t="s">
        <v>279</v>
      </c>
      <c r="G28" s="11" t="s">
        <v>271</v>
      </c>
      <c r="H28" s="11" t="s">
        <v>280</v>
      </c>
      <c r="I28" s="11" t="s">
        <v>73</v>
      </c>
      <c r="J28" s="11" t="s">
        <v>281</v>
      </c>
      <c r="K28" s="11" t="s">
        <v>282</v>
      </c>
      <c r="L28" s="11" t="s">
        <v>65</v>
      </c>
      <c r="M28" s="12" t="s">
        <v>201</v>
      </c>
    </row>
    <row r="29" customFormat="false" ht="15" hidden="false" customHeight="false" outlineLevel="0" collapsed="false">
      <c r="A29" s="10" t="s">
        <v>283</v>
      </c>
      <c r="B29" s="11" t="s">
        <v>284</v>
      </c>
      <c r="C29" s="11" t="s">
        <v>267</v>
      </c>
      <c r="D29" s="11" t="s">
        <v>285</v>
      </c>
      <c r="E29" s="11" t="s">
        <v>286</v>
      </c>
      <c r="F29" s="11" t="s">
        <v>287</v>
      </c>
      <c r="G29" s="11" t="s">
        <v>288</v>
      </c>
      <c r="H29" s="11" t="s">
        <v>289</v>
      </c>
      <c r="I29" s="11" t="s">
        <v>73</v>
      </c>
      <c r="J29" s="11" t="s">
        <v>290</v>
      </c>
      <c r="K29" s="11" t="s">
        <v>291</v>
      </c>
      <c r="L29" s="11" t="s">
        <v>65</v>
      </c>
      <c r="M29" s="12" t="s">
        <v>77</v>
      </c>
    </row>
    <row r="30" customFormat="false" ht="15" hidden="false" customHeight="false" outlineLevel="0" collapsed="false">
      <c r="A30" s="10" t="s">
        <v>292</v>
      </c>
      <c r="B30" s="11" t="s">
        <v>293</v>
      </c>
      <c r="C30" s="11" t="s">
        <v>267</v>
      </c>
      <c r="D30" s="11" t="s">
        <v>294</v>
      </c>
      <c r="E30" s="11" t="s">
        <v>295</v>
      </c>
      <c r="F30" s="11" t="s">
        <v>296</v>
      </c>
      <c r="G30" s="11" t="s">
        <v>297</v>
      </c>
      <c r="H30" s="11" t="s">
        <v>298</v>
      </c>
      <c r="I30" s="11" t="s">
        <v>73</v>
      </c>
      <c r="J30" s="11" t="s">
        <v>299</v>
      </c>
      <c r="K30" s="11" t="s">
        <v>300</v>
      </c>
      <c r="L30" s="11" t="s">
        <v>65</v>
      </c>
      <c r="M30" s="12" t="s">
        <v>301</v>
      </c>
    </row>
    <row r="31" customFormat="false" ht="15" hidden="false" customHeight="false" outlineLevel="0" collapsed="false">
      <c r="A31" s="10" t="s">
        <v>302</v>
      </c>
      <c r="B31" s="11" t="s">
        <v>303</v>
      </c>
      <c r="C31" s="11" t="s">
        <v>304</v>
      </c>
      <c r="D31" s="11" t="s">
        <v>305</v>
      </c>
      <c r="E31" s="11" t="s">
        <v>306</v>
      </c>
      <c r="F31" s="11" t="s">
        <v>307</v>
      </c>
      <c r="G31" s="11" t="s">
        <v>308</v>
      </c>
      <c r="H31" s="11" t="s">
        <v>309</v>
      </c>
      <c r="I31" s="11" t="s">
        <v>73</v>
      </c>
      <c r="J31" s="11" t="s">
        <v>303</v>
      </c>
      <c r="K31" s="11" t="s">
        <v>310</v>
      </c>
      <c r="L31" s="11" t="s">
        <v>65</v>
      </c>
      <c r="M31" s="12" t="s">
        <v>311</v>
      </c>
    </row>
  </sheetData>
  <autoFilter ref="A1:M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7" min="3" style="0" width="11"/>
    <col collapsed="false" customWidth="true" hidden="false" outlineLevel="0" max="8" min="8" style="0" width="13"/>
    <col collapsed="false" customWidth="true" hidden="false" outlineLevel="0" max="9" min="9" style="0" width="26"/>
    <col collapsed="false" customWidth="true" hidden="false" outlineLevel="0" max="10" min="10" style="0" width="15"/>
    <col collapsed="false" customWidth="true" hidden="false" outlineLevel="0" max="12" min="11" style="0" width="9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6" min="15" style="0" width="16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12"/>
  </cols>
  <sheetData>
    <row r="1" customFormat="false" ht="33.75" hidden="false" customHeight="true" outlineLevel="0" collapsed="false">
      <c r="A1" s="9" t="s">
        <v>35</v>
      </c>
      <c r="B1" s="13" t="s">
        <v>36</v>
      </c>
      <c r="C1" s="9" t="s">
        <v>312</v>
      </c>
      <c r="D1" s="9" t="s">
        <v>313</v>
      </c>
      <c r="E1" s="13" t="s">
        <v>314</v>
      </c>
      <c r="F1" s="9" t="s">
        <v>315</v>
      </c>
      <c r="G1" s="13" t="s">
        <v>316</v>
      </c>
      <c r="H1" s="13" t="s">
        <v>317</v>
      </c>
      <c r="I1" s="9" t="s">
        <v>318</v>
      </c>
      <c r="J1" s="9" t="s">
        <v>319</v>
      </c>
      <c r="K1" s="9" t="s">
        <v>320</v>
      </c>
      <c r="L1" s="9" t="s">
        <v>321</v>
      </c>
      <c r="M1" s="9" t="s">
        <v>322</v>
      </c>
      <c r="N1" s="9" t="s">
        <v>323</v>
      </c>
      <c r="O1" s="9" t="s">
        <v>324</v>
      </c>
      <c r="P1" s="9" t="s">
        <v>325</v>
      </c>
      <c r="Q1" s="9" t="s">
        <v>326</v>
      </c>
      <c r="R1" s="9" t="s">
        <v>327</v>
      </c>
      <c r="S1" s="9" t="s">
        <v>328</v>
      </c>
    </row>
    <row r="2" customFormat="false" ht="15" hidden="false" customHeight="false" outlineLevel="0" collapsed="false">
      <c r="A2" s="10" t="s">
        <v>48</v>
      </c>
      <c r="B2" s="11" t="str">
        <f aca="false">IFERROR(INDEX(Productos!$B:$B,MATCH($A2,Productos!$A:$A,0)),"")</f>
        <v>Banano premium</v>
      </c>
      <c r="C2" s="14" t="n">
        <v>1</v>
      </c>
      <c r="D2" s="11" t="n">
        <v>18</v>
      </c>
      <c r="E2" s="15" t="n">
        <f aca="false">C2*D2</f>
        <v>18</v>
      </c>
      <c r="F2" s="11" t="n">
        <v>48</v>
      </c>
      <c r="G2" s="16" t="n">
        <f aca="false">D2*F2</f>
        <v>864</v>
      </c>
      <c r="H2" s="17" t="n">
        <f aca="false">E2*F2</f>
        <v>864</v>
      </c>
      <c r="I2" s="11" t="s">
        <v>329</v>
      </c>
      <c r="J2" s="11" t="s">
        <v>330</v>
      </c>
      <c r="K2" s="11" t="n">
        <v>13</v>
      </c>
      <c r="L2" s="11" t="n">
        <v>15</v>
      </c>
      <c r="M2" s="11" t="n">
        <v>7</v>
      </c>
      <c r="N2" s="11" t="s">
        <v>331</v>
      </c>
      <c r="O2" s="11" t="s">
        <v>332</v>
      </c>
      <c r="P2" s="11" t="s">
        <v>333</v>
      </c>
      <c r="Q2" s="16" t="n">
        <v>310</v>
      </c>
      <c r="R2" s="18" t="n">
        <v>7</v>
      </c>
      <c r="S2" s="11" t="n">
        <v>5</v>
      </c>
    </row>
    <row r="3" customFormat="false" ht="15" hidden="false" customHeight="false" outlineLevel="0" collapsed="false">
      <c r="A3" s="10" t="s">
        <v>60</v>
      </c>
      <c r="B3" s="11" t="str">
        <f aca="false">IFERROR(INDEX(Productos!$B:$B,MATCH($A3,Productos!$A:$A,0)),"")</f>
        <v>Aguacate Hass</v>
      </c>
      <c r="C3" s="14" t="n">
        <v>1</v>
      </c>
      <c r="D3" s="11" t="n">
        <v>10</v>
      </c>
      <c r="E3" s="15" t="n">
        <f aca="false">C3*D3</f>
        <v>10</v>
      </c>
      <c r="F3" s="11" t="n">
        <v>64</v>
      </c>
      <c r="G3" s="16" t="n">
        <f aca="false">D3*F3</f>
        <v>640</v>
      </c>
      <c r="H3" s="17" t="n">
        <f aca="false">E3*F3</f>
        <v>640</v>
      </c>
      <c r="I3" s="11" t="s">
        <v>329</v>
      </c>
      <c r="J3" s="11" t="s">
        <v>330</v>
      </c>
      <c r="K3" s="11" t="n">
        <v>5</v>
      </c>
      <c r="L3" s="11" t="n">
        <v>8</v>
      </c>
      <c r="M3" s="11" t="n">
        <v>10</v>
      </c>
      <c r="N3" s="11" t="s">
        <v>334</v>
      </c>
      <c r="O3" s="11" t="s">
        <v>335</v>
      </c>
      <c r="P3" s="11" t="s">
        <v>333</v>
      </c>
      <c r="Q3" s="16" t="n">
        <v>130</v>
      </c>
      <c r="R3" s="18" t="n">
        <v>3.5</v>
      </c>
      <c r="S3" s="11" t="n">
        <v>6</v>
      </c>
    </row>
    <row r="4" customFormat="false" ht="15" hidden="false" customHeight="false" outlineLevel="0" collapsed="false">
      <c r="A4" s="10" t="s">
        <v>67</v>
      </c>
      <c r="B4" s="11" t="str">
        <f aca="false">IFERROR(INDEX(Productos!$B:$B,MATCH($A4,Productos!$A:$A,0)),"")</f>
        <v>Papa criolla lavada</v>
      </c>
      <c r="C4" s="14" t="n">
        <v>0.5</v>
      </c>
      <c r="D4" s="11" t="n">
        <v>20</v>
      </c>
      <c r="E4" s="15" t="n">
        <f aca="false">C4*D4</f>
        <v>10</v>
      </c>
      <c r="F4" s="11" t="n">
        <v>60</v>
      </c>
      <c r="G4" s="16" t="n">
        <f aca="false">D4*F4</f>
        <v>1200</v>
      </c>
      <c r="H4" s="17" t="n">
        <f aca="false">E4*F4</f>
        <v>600</v>
      </c>
      <c r="I4" s="11" t="s">
        <v>336</v>
      </c>
      <c r="J4" s="11" t="s">
        <v>330</v>
      </c>
      <c r="K4" s="11" t="n">
        <v>8</v>
      </c>
      <c r="L4" s="11" t="n">
        <v>12</v>
      </c>
      <c r="M4" s="11" t="n">
        <v>20</v>
      </c>
      <c r="N4" s="11" t="s">
        <v>337</v>
      </c>
      <c r="O4" s="11" t="s">
        <v>338</v>
      </c>
      <c r="P4" s="11" t="s">
        <v>339</v>
      </c>
      <c r="Q4" s="16" t="n">
        <v>60</v>
      </c>
      <c r="R4" s="18" t="n">
        <v>2</v>
      </c>
      <c r="S4" s="11" t="n">
        <v>5</v>
      </c>
    </row>
    <row r="5" customFormat="false" ht="15" hidden="false" customHeight="false" outlineLevel="0" collapsed="false">
      <c r="A5" s="10" t="s">
        <v>78</v>
      </c>
      <c r="B5" s="11" t="str">
        <f aca="false">IFERROR(INDEX(Productos!$B:$B,MATCH($A5,Productos!$A:$A,0)),"")</f>
        <v>Plátano hartón</v>
      </c>
      <c r="C5" s="14" t="n">
        <v>1</v>
      </c>
      <c r="D5" s="11" t="n">
        <v>15</v>
      </c>
      <c r="E5" s="15" t="n">
        <f aca="false">C5*D5</f>
        <v>15</v>
      </c>
      <c r="F5" s="11" t="n">
        <v>40</v>
      </c>
      <c r="G5" s="16" t="n">
        <f aca="false">D5*F5</f>
        <v>600</v>
      </c>
      <c r="H5" s="17" t="n">
        <f aca="false">E5*F5</f>
        <v>600</v>
      </c>
      <c r="I5" s="11" t="s">
        <v>329</v>
      </c>
      <c r="J5" s="11" t="s">
        <v>330</v>
      </c>
      <c r="K5" s="11" t="n">
        <v>13</v>
      </c>
      <c r="L5" s="11" t="n">
        <v>15</v>
      </c>
      <c r="M5" s="11" t="n">
        <v>10</v>
      </c>
      <c r="N5" s="11" t="s">
        <v>334</v>
      </c>
      <c r="O5" s="11" t="s">
        <v>340</v>
      </c>
      <c r="P5" s="11" t="s">
        <v>341</v>
      </c>
      <c r="Q5" s="16" t="n">
        <v>190</v>
      </c>
      <c r="R5" s="18" t="n">
        <v>4</v>
      </c>
      <c r="S5" s="11" t="n">
        <v>5</v>
      </c>
    </row>
    <row r="6" customFormat="false" ht="15" hidden="false" customHeight="false" outlineLevel="0" collapsed="false">
      <c r="A6" s="10" t="s">
        <v>83</v>
      </c>
      <c r="B6" s="11" t="str">
        <f aca="false">IFERROR(INDEX(Productos!$B:$B,MATCH($A6,Productos!$A:$A,0)),"")</f>
        <v>Uchuva con capacho</v>
      </c>
      <c r="C6" s="14" t="n">
        <v>0.25</v>
      </c>
      <c r="D6" s="11" t="n">
        <v>12</v>
      </c>
      <c r="E6" s="15" t="n">
        <f aca="false">C6*D6</f>
        <v>3</v>
      </c>
      <c r="F6" s="11" t="n">
        <v>120</v>
      </c>
      <c r="G6" s="16" t="n">
        <f aca="false">D6*F6</f>
        <v>1440</v>
      </c>
      <c r="H6" s="17" t="n">
        <f aca="false">E6*F6</f>
        <v>360</v>
      </c>
      <c r="I6" s="11" t="s">
        <v>342</v>
      </c>
      <c r="J6" s="11" t="s">
        <v>330</v>
      </c>
      <c r="K6" s="11" t="n">
        <v>2</v>
      </c>
      <c r="L6" s="11" t="n">
        <v>6</v>
      </c>
      <c r="M6" s="11" t="n">
        <v>15</v>
      </c>
      <c r="N6" s="11" t="s">
        <v>334</v>
      </c>
      <c r="O6" s="11" t="s">
        <v>343</v>
      </c>
      <c r="P6" s="11" t="s">
        <v>339</v>
      </c>
      <c r="Q6" s="16" t="n">
        <v>65</v>
      </c>
      <c r="R6" s="18" t="n">
        <v>2.5</v>
      </c>
      <c r="S6" s="11" t="n">
        <v>4</v>
      </c>
    </row>
    <row r="7" customFormat="false" ht="15" hidden="false" customHeight="false" outlineLevel="0" collapsed="false">
      <c r="A7" s="10" t="s">
        <v>91</v>
      </c>
      <c r="B7" s="11" t="str">
        <f aca="false">IFERROR(INDEX(Productos!$B:$B,MATCH($A7,Productos!$A:$A,0)),"")</f>
        <v>Lulo</v>
      </c>
      <c r="C7" s="14" t="n">
        <v>0.5</v>
      </c>
      <c r="D7" s="11" t="n">
        <v>12</v>
      </c>
      <c r="E7" s="15" t="n">
        <f aca="false">C7*D7</f>
        <v>6</v>
      </c>
      <c r="F7" s="11" t="n">
        <v>100</v>
      </c>
      <c r="G7" s="16" t="n">
        <f aca="false">D7*F7</f>
        <v>1200</v>
      </c>
      <c r="H7" s="17" t="n">
        <f aca="false">E7*F7</f>
        <v>600</v>
      </c>
      <c r="I7" s="11" t="s">
        <v>329</v>
      </c>
      <c r="J7" s="11" t="s">
        <v>330</v>
      </c>
      <c r="K7" s="11" t="n">
        <v>7</v>
      </c>
      <c r="L7" s="11" t="n">
        <v>10</v>
      </c>
      <c r="M7" s="11" t="n">
        <v>12</v>
      </c>
      <c r="N7" s="11" t="s">
        <v>334</v>
      </c>
      <c r="O7" s="11" t="s">
        <v>344</v>
      </c>
      <c r="P7" s="11" t="s">
        <v>339</v>
      </c>
      <c r="Q7" s="16" t="n">
        <v>310</v>
      </c>
      <c r="R7" s="18" t="n">
        <v>7</v>
      </c>
      <c r="S7" s="11" t="n">
        <v>5</v>
      </c>
    </row>
    <row r="8" customFormat="false" ht="15" hidden="false" customHeight="false" outlineLevel="0" collapsed="false">
      <c r="A8" s="10" t="s">
        <v>98</v>
      </c>
      <c r="B8" s="11" t="str">
        <f aca="false">IFERROR(INDEX(Productos!$B:$B,MATCH($A8,Productos!$A:$A,0)),"")</f>
        <v>Mango Tommy</v>
      </c>
      <c r="C8" s="14" t="n">
        <v>1</v>
      </c>
      <c r="D8" s="11" t="n">
        <v>10</v>
      </c>
      <c r="E8" s="15" t="n">
        <f aca="false">C8*D8</f>
        <v>10</v>
      </c>
      <c r="F8" s="11" t="n">
        <v>60</v>
      </c>
      <c r="G8" s="16" t="n">
        <f aca="false">D8*F8</f>
        <v>600</v>
      </c>
      <c r="H8" s="17" t="n">
        <f aca="false">E8*F8</f>
        <v>600</v>
      </c>
      <c r="I8" s="11" t="s">
        <v>329</v>
      </c>
      <c r="J8" s="11" t="s">
        <v>330</v>
      </c>
      <c r="K8" s="11" t="n">
        <v>10</v>
      </c>
      <c r="L8" s="11" t="n">
        <v>13</v>
      </c>
      <c r="M8" s="11" t="n">
        <v>8</v>
      </c>
      <c r="N8" s="11" t="s">
        <v>334</v>
      </c>
      <c r="O8" s="11" t="s">
        <v>345</v>
      </c>
      <c r="P8" s="11" t="s">
        <v>339</v>
      </c>
      <c r="Q8" s="16" t="n">
        <v>170</v>
      </c>
      <c r="R8" s="18" t="n">
        <v>3.5</v>
      </c>
      <c r="S8" s="11" t="n">
        <v>5</v>
      </c>
    </row>
    <row r="9" customFormat="false" ht="15" hidden="false" customHeight="false" outlineLevel="0" collapsed="false">
      <c r="A9" s="10" t="s">
        <v>104</v>
      </c>
      <c r="B9" s="11" t="str">
        <f aca="false">IFERROR(INDEX(Productos!$B:$B,MATCH($A9,Productos!$A:$A,0)),"")</f>
        <v>Cebolla cabezona blanca</v>
      </c>
      <c r="C9" s="14" t="n">
        <v>1</v>
      </c>
      <c r="D9" s="11" t="n">
        <v>20</v>
      </c>
      <c r="E9" s="15" t="n">
        <f aca="false">C9*D9</f>
        <v>20</v>
      </c>
      <c r="F9" s="11" t="n">
        <v>36</v>
      </c>
      <c r="G9" s="16" t="n">
        <f aca="false">D9*F9</f>
        <v>720</v>
      </c>
      <c r="H9" s="17" t="n">
        <f aca="false">E9*F9</f>
        <v>720</v>
      </c>
      <c r="I9" s="11" t="s">
        <v>346</v>
      </c>
      <c r="J9" s="11" t="s">
        <v>347</v>
      </c>
      <c r="K9" s="11" t="n">
        <v>15</v>
      </c>
      <c r="L9" s="11" t="n">
        <v>25</v>
      </c>
      <c r="M9" s="11" t="n">
        <v>30</v>
      </c>
      <c r="N9" s="11" t="s">
        <v>337</v>
      </c>
      <c r="O9" s="11" t="s">
        <v>348</v>
      </c>
      <c r="P9" s="11" t="s">
        <v>339</v>
      </c>
      <c r="Q9" s="16" t="n">
        <v>145</v>
      </c>
      <c r="R9" s="18" t="n">
        <v>3</v>
      </c>
      <c r="S9" s="11" t="n">
        <v>4</v>
      </c>
    </row>
    <row r="10" customFormat="false" ht="15" hidden="false" customHeight="false" outlineLevel="0" collapsed="false">
      <c r="A10" s="10" t="s">
        <v>113</v>
      </c>
      <c r="B10" s="11" t="str">
        <f aca="false">IFERROR(INDEX(Productos!$B:$B,MATCH($A10,Productos!$A:$A,0)),"")</f>
        <v>Leche entera pasteurizada</v>
      </c>
      <c r="C10" s="14" t="n">
        <v>1.05</v>
      </c>
      <c r="D10" s="11" t="n">
        <v>12</v>
      </c>
      <c r="E10" s="15" t="n">
        <f aca="false">C10*D10</f>
        <v>12.6</v>
      </c>
      <c r="F10" s="11" t="n">
        <v>56</v>
      </c>
      <c r="G10" s="16" t="n">
        <f aca="false">D10*F10</f>
        <v>672</v>
      </c>
      <c r="H10" s="17" t="n">
        <f aca="false">E10*F10</f>
        <v>705.6</v>
      </c>
      <c r="I10" s="11" t="s">
        <v>349</v>
      </c>
      <c r="J10" s="11" t="s">
        <v>330</v>
      </c>
      <c r="K10" s="11" t="n">
        <v>2</v>
      </c>
      <c r="L10" s="11" t="n">
        <v>6</v>
      </c>
      <c r="M10" s="11" t="n">
        <v>10</v>
      </c>
      <c r="N10" s="11" t="s">
        <v>334</v>
      </c>
      <c r="O10" s="11" t="s">
        <v>350</v>
      </c>
      <c r="P10" s="11" t="s">
        <v>339</v>
      </c>
      <c r="Q10" s="16" t="n">
        <v>415</v>
      </c>
      <c r="R10" s="18" t="n">
        <v>9.5</v>
      </c>
      <c r="S10" s="11" t="n">
        <v>3</v>
      </c>
    </row>
    <row r="11" customFormat="false" ht="15" hidden="false" customHeight="false" outlineLevel="0" collapsed="false">
      <c r="A11" s="10" t="s">
        <v>124</v>
      </c>
      <c r="B11" s="11" t="str">
        <f aca="false">IFERROR(INDEX(Productos!$B:$B,MATCH($A11,Productos!$A:$A,0)),"")</f>
        <v>Yogurt entero</v>
      </c>
      <c r="C11" s="14" t="n">
        <v>1.05</v>
      </c>
      <c r="D11" s="11" t="n">
        <v>12</v>
      </c>
      <c r="E11" s="15" t="n">
        <f aca="false">C11*D11</f>
        <v>12.6</v>
      </c>
      <c r="F11" s="11" t="n">
        <v>60</v>
      </c>
      <c r="G11" s="16" t="n">
        <f aca="false">D11*F11</f>
        <v>720</v>
      </c>
      <c r="H11" s="17" t="n">
        <f aca="false">E11*F11</f>
        <v>756</v>
      </c>
      <c r="I11" s="11" t="s">
        <v>349</v>
      </c>
      <c r="J11" s="11" t="s">
        <v>330</v>
      </c>
      <c r="K11" s="11" t="n">
        <v>2</v>
      </c>
      <c r="L11" s="11" t="n">
        <v>6</v>
      </c>
      <c r="M11" s="11" t="n">
        <v>30</v>
      </c>
      <c r="N11" s="11" t="s">
        <v>334</v>
      </c>
      <c r="O11" s="11" t="s">
        <v>351</v>
      </c>
      <c r="P11" s="11" t="s">
        <v>341</v>
      </c>
      <c r="Q11" s="16" t="n">
        <v>480</v>
      </c>
      <c r="R11" s="18" t="n">
        <v>10</v>
      </c>
      <c r="S11" s="11" t="n">
        <v>4</v>
      </c>
    </row>
    <row r="12" customFormat="false" ht="15" hidden="false" customHeight="false" outlineLevel="0" collapsed="false">
      <c r="A12" s="10" t="s">
        <v>130</v>
      </c>
      <c r="B12" s="11" t="str">
        <f aca="false">IFERROR(INDEX(Productos!$B:$B,MATCH($A12,Productos!$A:$A,0)),"")</f>
        <v>Queso campesino</v>
      </c>
      <c r="C12" s="14" t="n">
        <v>0.5</v>
      </c>
      <c r="D12" s="11" t="n">
        <v>10</v>
      </c>
      <c r="E12" s="15" t="n">
        <f aca="false">C12*D12</f>
        <v>5</v>
      </c>
      <c r="F12" s="11" t="n">
        <v>120</v>
      </c>
      <c r="G12" s="16" t="n">
        <f aca="false">D12*F12</f>
        <v>1200</v>
      </c>
      <c r="H12" s="17" t="n">
        <f aca="false">E12*F12</f>
        <v>600</v>
      </c>
      <c r="I12" s="11" t="s">
        <v>352</v>
      </c>
      <c r="J12" s="11" t="s">
        <v>330</v>
      </c>
      <c r="K12" s="11" t="n">
        <v>2</v>
      </c>
      <c r="L12" s="11" t="n">
        <v>6</v>
      </c>
      <c r="M12" s="11" t="n">
        <v>30</v>
      </c>
      <c r="N12" s="11" t="s">
        <v>334</v>
      </c>
      <c r="O12" s="11" t="s">
        <v>350</v>
      </c>
      <c r="P12" s="11" t="s">
        <v>341</v>
      </c>
      <c r="Q12" s="16" t="n">
        <v>430</v>
      </c>
      <c r="R12" s="18" t="n">
        <v>9</v>
      </c>
      <c r="S12" s="11" t="n">
        <v>5</v>
      </c>
    </row>
    <row r="13" customFormat="false" ht="15" hidden="false" customHeight="false" outlineLevel="0" collapsed="false">
      <c r="A13" s="10" t="s">
        <v>137</v>
      </c>
      <c r="B13" s="11" t="str">
        <f aca="false">IFERROR(INDEX(Productos!$B:$B,MATCH($A13,Productos!$A:$A,0)),"")</f>
        <v>Salchichas tipo Viena</v>
      </c>
      <c r="C13" s="14" t="n">
        <v>0.45</v>
      </c>
      <c r="D13" s="11" t="n">
        <v>20</v>
      </c>
      <c r="E13" s="15" t="n">
        <f aca="false">C13*D13</f>
        <v>9</v>
      </c>
      <c r="F13" s="11" t="n">
        <v>80</v>
      </c>
      <c r="G13" s="16" t="n">
        <f aca="false">D13*F13</f>
        <v>1600</v>
      </c>
      <c r="H13" s="17" t="n">
        <f aca="false">E13*F13</f>
        <v>720</v>
      </c>
      <c r="I13" s="11" t="s">
        <v>352</v>
      </c>
      <c r="J13" s="11" t="s">
        <v>330</v>
      </c>
      <c r="K13" s="11" t="n">
        <v>0</v>
      </c>
      <c r="L13" s="11" t="n">
        <v>4</v>
      </c>
      <c r="M13" s="11" t="n">
        <v>60</v>
      </c>
      <c r="N13" s="11" t="s">
        <v>334</v>
      </c>
      <c r="O13" s="11" t="s">
        <v>350</v>
      </c>
      <c r="P13" s="11" t="s">
        <v>353</v>
      </c>
      <c r="Q13" s="16" t="n">
        <v>690</v>
      </c>
      <c r="R13" s="18" t="n">
        <v>14</v>
      </c>
      <c r="S13" s="11" t="n">
        <v>5</v>
      </c>
    </row>
    <row r="14" customFormat="false" ht="15" hidden="false" customHeight="false" outlineLevel="0" collapsed="false">
      <c r="A14" s="10" t="s">
        <v>149</v>
      </c>
      <c r="B14" s="11" t="str">
        <f aca="false">IFERROR(INDEX(Productos!$B:$B,MATCH($A14,Productos!$A:$A,0)),"")</f>
        <v>Pulpa de mora congelada</v>
      </c>
      <c r="C14" s="14" t="n">
        <v>0.5</v>
      </c>
      <c r="D14" s="11" t="n">
        <v>20</v>
      </c>
      <c r="E14" s="15" t="n">
        <f aca="false">C14*D14</f>
        <v>10</v>
      </c>
      <c r="F14" s="11" t="n">
        <v>70</v>
      </c>
      <c r="G14" s="16" t="n">
        <f aca="false">D14*F14</f>
        <v>1400</v>
      </c>
      <c r="H14" s="17" t="n">
        <f aca="false">E14*F14</f>
        <v>700</v>
      </c>
      <c r="I14" s="11" t="s">
        <v>354</v>
      </c>
      <c r="J14" s="11" t="s">
        <v>330</v>
      </c>
      <c r="K14" s="11" t="n">
        <v>-22</v>
      </c>
      <c r="L14" s="11" t="n">
        <v>-18</v>
      </c>
      <c r="M14" s="11" t="n">
        <v>365</v>
      </c>
      <c r="N14" s="11" t="s">
        <v>355</v>
      </c>
      <c r="O14" s="11" t="s">
        <v>356</v>
      </c>
      <c r="P14" s="11" t="s">
        <v>339</v>
      </c>
      <c r="Q14" s="16" t="n">
        <v>390</v>
      </c>
      <c r="R14" s="18" t="n">
        <v>9</v>
      </c>
      <c r="S14" s="11" t="n">
        <v>4</v>
      </c>
    </row>
    <row r="15" customFormat="false" ht="15" hidden="false" customHeight="false" outlineLevel="0" collapsed="false">
      <c r="A15" s="10" t="s">
        <v>159</v>
      </c>
      <c r="B15" s="11" t="str">
        <f aca="false">IFERROR(INDEX(Productos!$B:$B,MATCH($A15,Productos!$A:$A,0)),"")</f>
        <v>Arroz blanco</v>
      </c>
      <c r="C15" s="14" t="n">
        <v>1</v>
      </c>
      <c r="D15" s="11" t="n">
        <v>25</v>
      </c>
      <c r="E15" s="15" t="n">
        <f aca="false">C15*D15</f>
        <v>25</v>
      </c>
      <c r="F15" s="11" t="n">
        <v>36</v>
      </c>
      <c r="G15" s="16" t="n">
        <f aca="false">D15*F15</f>
        <v>900</v>
      </c>
      <c r="H15" s="17" t="n">
        <f aca="false">E15*F15</f>
        <v>900</v>
      </c>
      <c r="I15" s="11" t="s">
        <v>357</v>
      </c>
      <c r="J15" s="11" t="s">
        <v>347</v>
      </c>
      <c r="K15" s="11" t="n">
        <v>15</v>
      </c>
      <c r="L15" s="11" t="n">
        <v>30</v>
      </c>
      <c r="M15" s="11" t="n">
        <v>365</v>
      </c>
      <c r="N15" s="11" t="s">
        <v>358</v>
      </c>
      <c r="O15" s="11" t="s">
        <v>359</v>
      </c>
      <c r="P15" s="11" t="s">
        <v>339</v>
      </c>
      <c r="Q15" s="16" t="n">
        <v>200</v>
      </c>
      <c r="R15" s="18" t="n">
        <v>4.5</v>
      </c>
      <c r="S15" s="11" t="n">
        <v>6</v>
      </c>
    </row>
    <row r="16" customFormat="false" ht="15" hidden="false" customHeight="false" outlineLevel="0" collapsed="false">
      <c r="A16" s="10" t="s">
        <v>168</v>
      </c>
      <c r="B16" s="11" t="str">
        <f aca="false">IFERROR(INDEX(Productos!$B:$B,MATCH($A16,Productos!$A:$A,0)),"")</f>
        <v>Panela cuadrada</v>
      </c>
      <c r="C16" s="14" t="n">
        <v>1</v>
      </c>
      <c r="D16" s="11" t="n">
        <v>20</v>
      </c>
      <c r="E16" s="15" t="n">
        <f aca="false">C16*D16</f>
        <v>20</v>
      </c>
      <c r="F16" s="11" t="n">
        <v>40</v>
      </c>
      <c r="G16" s="16" t="n">
        <f aca="false">D16*F16</f>
        <v>800</v>
      </c>
      <c r="H16" s="17" t="n">
        <f aca="false">E16*F16</f>
        <v>800</v>
      </c>
      <c r="I16" s="11" t="s">
        <v>352</v>
      </c>
      <c r="J16" s="11" t="s">
        <v>347</v>
      </c>
      <c r="K16" s="11" t="n">
        <v>15</v>
      </c>
      <c r="L16" s="11" t="n">
        <v>30</v>
      </c>
      <c r="M16" s="11" t="n">
        <v>180</v>
      </c>
      <c r="N16" s="11" t="s">
        <v>337</v>
      </c>
      <c r="O16" s="11" t="s">
        <v>360</v>
      </c>
      <c r="P16" s="11" t="s">
        <v>339</v>
      </c>
      <c r="Q16" s="16" t="n">
        <v>85</v>
      </c>
      <c r="R16" s="18" t="n">
        <v>2.5</v>
      </c>
      <c r="S16" s="11" t="n">
        <v>5</v>
      </c>
    </row>
    <row r="17" customFormat="false" ht="15" hidden="false" customHeight="false" outlineLevel="0" collapsed="false">
      <c r="A17" s="10" t="s">
        <v>176</v>
      </c>
      <c r="B17" s="11" t="str">
        <f aca="false">IFERROR(INDEX(Productos!$B:$B,MATCH($A17,Productos!$A:$A,0)),"")</f>
        <v>Café tostado y molido</v>
      </c>
      <c r="C17" s="14" t="n">
        <v>0.34</v>
      </c>
      <c r="D17" s="11" t="n">
        <v>12</v>
      </c>
      <c r="E17" s="15" t="n">
        <f aca="false">C17*D17</f>
        <v>4.08</v>
      </c>
      <c r="F17" s="11" t="n">
        <v>150</v>
      </c>
      <c r="G17" s="16" t="n">
        <f aca="false">D17*F17</f>
        <v>1800</v>
      </c>
      <c r="H17" s="17" t="n">
        <f aca="false">E17*F17</f>
        <v>612</v>
      </c>
      <c r="I17" s="11" t="s">
        <v>352</v>
      </c>
      <c r="J17" s="11" t="s">
        <v>347</v>
      </c>
      <c r="K17" s="11" t="n">
        <v>15</v>
      </c>
      <c r="L17" s="11" t="n">
        <v>30</v>
      </c>
      <c r="M17" s="11" t="n">
        <v>365</v>
      </c>
      <c r="N17" s="11" t="s">
        <v>337</v>
      </c>
      <c r="O17" s="11" t="s">
        <v>344</v>
      </c>
      <c r="P17" s="11" t="s">
        <v>339</v>
      </c>
      <c r="Q17" s="16" t="n">
        <v>310</v>
      </c>
      <c r="R17" s="18" t="n">
        <v>7</v>
      </c>
      <c r="S17" s="11" t="n">
        <v>6</v>
      </c>
    </row>
    <row r="18" customFormat="false" ht="15" hidden="false" customHeight="false" outlineLevel="0" collapsed="false">
      <c r="A18" s="10" t="s">
        <v>186</v>
      </c>
      <c r="B18" s="11" t="str">
        <f aca="false">IFERROR(INDEX(Productos!$B:$B,MATCH($A18,Productos!$A:$A,0)),"")</f>
        <v>Café instantáneo clásico</v>
      </c>
      <c r="C18" s="14" t="n">
        <v>0.17</v>
      </c>
      <c r="D18" s="11" t="n">
        <v>24</v>
      </c>
      <c r="E18" s="15" t="n">
        <f aca="false">C18*D18</f>
        <v>4.08</v>
      </c>
      <c r="F18" s="11" t="n">
        <v>140</v>
      </c>
      <c r="G18" s="16" t="n">
        <f aca="false">D18*F18</f>
        <v>3360</v>
      </c>
      <c r="H18" s="17" t="n">
        <f aca="false">E18*F18</f>
        <v>571.2</v>
      </c>
      <c r="I18" s="11" t="s">
        <v>352</v>
      </c>
      <c r="J18" s="11" t="s">
        <v>347</v>
      </c>
      <c r="K18" s="11" t="n">
        <v>15</v>
      </c>
      <c r="L18" s="11" t="n">
        <v>30</v>
      </c>
      <c r="M18" s="11" t="n">
        <v>720</v>
      </c>
      <c r="N18" s="11" t="s">
        <v>337</v>
      </c>
      <c r="O18" s="11" t="s">
        <v>350</v>
      </c>
      <c r="P18" s="11" t="s">
        <v>341</v>
      </c>
      <c r="Q18" s="16" t="n">
        <v>430</v>
      </c>
      <c r="R18" s="18" t="n">
        <v>9</v>
      </c>
      <c r="S18" s="11" t="n">
        <v>5</v>
      </c>
    </row>
    <row r="19" customFormat="false" ht="15" hidden="false" customHeight="false" outlineLevel="0" collapsed="false">
      <c r="A19" s="10" t="s">
        <v>194</v>
      </c>
      <c r="B19" s="11" t="str">
        <f aca="false">IFERROR(INDEX(Productos!$B:$B,MATCH($A19,Productos!$A:$A,0)),"")</f>
        <v>Chocolate de mesa</v>
      </c>
      <c r="C19" s="14" t="n">
        <v>0.5</v>
      </c>
      <c r="D19" s="11" t="n">
        <v>24</v>
      </c>
      <c r="E19" s="15" t="n">
        <f aca="false">C19*D19</f>
        <v>12</v>
      </c>
      <c r="F19" s="11" t="n">
        <v>60</v>
      </c>
      <c r="G19" s="16" t="n">
        <f aca="false">D19*F19</f>
        <v>1440</v>
      </c>
      <c r="H19" s="17" t="n">
        <f aca="false">E19*F19</f>
        <v>720</v>
      </c>
      <c r="I19" s="11" t="s">
        <v>352</v>
      </c>
      <c r="J19" s="11" t="s">
        <v>347</v>
      </c>
      <c r="K19" s="11" t="n">
        <v>15</v>
      </c>
      <c r="L19" s="11" t="n">
        <v>25</v>
      </c>
      <c r="M19" s="11" t="n">
        <v>365</v>
      </c>
      <c r="N19" s="11" t="s">
        <v>337</v>
      </c>
      <c r="O19" s="11" t="s">
        <v>350</v>
      </c>
      <c r="P19" s="11" t="s">
        <v>339</v>
      </c>
      <c r="Q19" s="16" t="n">
        <v>415</v>
      </c>
      <c r="R19" s="18" t="n">
        <v>9.5</v>
      </c>
      <c r="S19" s="11" t="n">
        <v>5</v>
      </c>
    </row>
    <row r="20" customFormat="false" ht="15" hidden="false" customHeight="false" outlineLevel="0" collapsed="false">
      <c r="A20" s="10" t="s">
        <v>202</v>
      </c>
      <c r="B20" s="11" t="str">
        <f aca="false">IFERROR(INDEX(Productos!$B:$B,MATCH($A20,Productos!$A:$A,0)),"")</f>
        <v>Aceite de girasol</v>
      </c>
      <c r="C20" s="14" t="n">
        <v>0.92</v>
      </c>
      <c r="D20" s="11" t="n">
        <v>12</v>
      </c>
      <c r="E20" s="15" t="n">
        <f aca="false">C20*D20</f>
        <v>11.04</v>
      </c>
      <c r="F20" s="11" t="n">
        <v>70</v>
      </c>
      <c r="G20" s="16" t="n">
        <f aca="false">D20*F20</f>
        <v>840</v>
      </c>
      <c r="H20" s="17" t="n">
        <f aca="false">E20*F20</f>
        <v>772.8</v>
      </c>
      <c r="I20" s="11" t="s">
        <v>352</v>
      </c>
      <c r="J20" s="11" t="s">
        <v>347</v>
      </c>
      <c r="K20" s="11" t="n">
        <v>15</v>
      </c>
      <c r="L20" s="11" t="n">
        <v>30</v>
      </c>
      <c r="M20" s="11" t="n">
        <v>540</v>
      </c>
      <c r="N20" s="11" t="s">
        <v>337</v>
      </c>
      <c r="O20" s="11" t="s">
        <v>361</v>
      </c>
      <c r="P20" s="11" t="s">
        <v>333</v>
      </c>
      <c r="Q20" s="16" t="n">
        <v>420</v>
      </c>
      <c r="R20" s="18" t="n">
        <v>9</v>
      </c>
      <c r="S20" s="11" t="n">
        <v>4</v>
      </c>
    </row>
    <row r="21" customFormat="false" ht="15" hidden="false" customHeight="false" outlineLevel="0" collapsed="false">
      <c r="A21" s="10" t="s">
        <v>213</v>
      </c>
      <c r="B21" s="11" t="str">
        <f aca="false">IFERROR(INDEX(Productos!$B:$B,MATCH($A21,Productos!$A:$A,0)),"")</f>
        <v>Fríjol cargamanto</v>
      </c>
      <c r="C21" s="14" t="n">
        <v>0.5</v>
      </c>
      <c r="D21" s="11" t="n">
        <v>20</v>
      </c>
      <c r="E21" s="15" t="n">
        <f aca="false">C21*D21</f>
        <v>10</v>
      </c>
      <c r="F21" s="11" t="n">
        <v>80</v>
      </c>
      <c r="G21" s="16" t="n">
        <f aca="false">D21*F21</f>
        <v>1600</v>
      </c>
      <c r="H21" s="17" t="n">
        <f aca="false">E21*F21</f>
        <v>800</v>
      </c>
      <c r="I21" s="11" t="s">
        <v>357</v>
      </c>
      <c r="J21" s="11" t="s">
        <v>347</v>
      </c>
      <c r="K21" s="11" t="n">
        <v>15</v>
      </c>
      <c r="L21" s="11" t="n">
        <v>30</v>
      </c>
      <c r="M21" s="11" t="n">
        <v>365</v>
      </c>
      <c r="N21" s="11" t="s">
        <v>337</v>
      </c>
      <c r="O21" s="11" t="s">
        <v>362</v>
      </c>
      <c r="P21" s="11" t="s">
        <v>333</v>
      </c>
      <c r="Q21" s="16" t="n">
        <v>60</v>
      </c>
      <c r="R21" s="18" t="n">
        <v>1.5</v>
      </c>
      <c r="S21" s="11" t="n">
        <v>6</v>
      </c>
    </row>
    <row r="22" customFormat="false" ht="15" hidden="false" customHeight="false" outlineLevel="0" collapsed="false">
      <c r="A22" s="10" t="s">
        <v>219</v>
      </c>
      <c r="B22" s="11" t="str">
        <f aca="false">IFERROR(INDEX(Productos!$B:$B,MATCH($A22,Productos!$A:$A,0)),"")</f>
        <v>Bocadillo veleño</v>
      </c>
      <c r="C22" s="14" t="n">
        <v>0.4</v>
      </c>
      <c r="D22" s="11" t="n">
        <v>24</v>
      </c>
      <c r="E22" s="15" t="n">
        <f aca="false">C22*D22</f>
        <v>9.6</v>
      </c>
      <c r="F22" s="11" t="n">
        <v>80</v>
      </c>
      <c r="G22" s="16" t="n">
        <f aca="false">D22*F22</f>
        <v>1920</v>
      </c>
      <c r="H22" s="17" t="n">
        <f aca="false">E22*F22</f>
        <v>768</v>
      </c>
      <c r="I22" s="11" t="s">
        <v>352</v>
      </c>
      <c r="J22" s="11" t="s">
        <v>347</v>
      </c>
      <c r="K22" s="11" t="n">
        <v>15</v>
      </c>
      <c r="L22" s="11" t="n">
        <v>30</v>
      </c>
      <c r="M22" s="11" t="n">
        <v>365</v>
      </c>
      <c r="N22" s="11" t="s">
        <v>337</v>
      </c>
      <c r="O22" s="11" t="s">
        <v>363</v>
      </c>
      <c r="P22" s="11" t="s">
        <v>339</v>
      </c>
      <c r="Q22" s="16" t="n">
        <v>230</v>
      </c>
      <c r="R22" s="18" t="n">
        <v>5.5</v>
      </c>
      <c r="S22" s="11" t="n">
        <v>5</v>
      </c>
    </row>
    <row r="23" customFormat="false" ht="15" hidden="false" customHeight="false" outlineLevel="0" collapsed="false">
      <c r="A23" s="10" t="s">
        <v>228</v>
      </c>
      <c r="B23" s="11" t="str">
        <f aca="false">IFERROR(INDEX(Productos!$B:$B,MATCH($A23,Productos!$A:$A,0)),"")</f>
        <v>Arequipe</v>
      </c>
      <c r="C23" s="14" t="n">
        <v>0.25</v>
      </c>
      <c r="D23" s="11" t="n">
        <v>24</v>
      </c>
      <c r="E23" s="15" t="n">
        <f aca="false">C23*D23</f>
        <v>6</v>
      </c>
      <c r="F23" s="11" t="n">
        <v>100</v>
      </c>
      <c r="G23" s="16" t="n">
        <f aca="false">D23*F23</f>
        <v>2400</v>
      </c>
      <c r="H23" s="17" t="n">
        <f aca="false">E23*F23</f>
        <v>600</v>
      </c>
      <c r="I23" s="11" t="s">
        <v>352</v>
      </c>
      <c r="J23" s="11" t="s">
        <v>347</v>
      </c>
      <c r="K23" s="11" t="n">
        <v>15</v>
      </c>
      <c r="L23" s="11" t="n">
        <v>30</v>
      </c>
      <c r="M23" s="11" t="n">
        <v>180</v>
      </c>
      <c r="N23" s="11" t="s">
        <v>337</v>
      </c>
      <c r="O23" s="11" t="s">
        <v>351</v>
      </c>
      <c r="P23" s="11" t="s">
        <v>333</v>
      </c>
      <c r="Q23" s="16" t="n">
        <v>430</v>
      </c>
      <c r="R23" s="18" t="n">
        <v>10</v>
      </c>
      <c r="S23" s="11" t="n">
        <v>5</v>
      </c>
    </row>
    <row r="24" customFormat="false" ht="15" hidden="false" customHeight="false" outlineLevel="0" collapsed="false">
      <c r="A24" s="10" t="s">
        <v>235</v>
      </c>
      <c r="B24" s="11" t="str">
        <f aca="false">IFERROR(INDEX(Productos!$B:$B,MATCH($A24,Productos!$A:$A,0)),"")</f>
        <v>Huevos AA</v>
      </c>
      <c r="C24" s="14" t="n">
        <v>1.8</v>
      </c>
      <c r="D24" s="11" t="n">
        <v>12</v>
      </c>
      <c r="E24" s="15" t="n">
        <f aca="false">C24*D24</f>
        <v>21.6</v>
      </c>
      <c r="F24" s="11" t="n">
        <v>30</v>
      </c>
      <c r="G24" s="16" t="n">
        <f aca="false">D24*F24</f>
        <v>360</v>
      </c>
      <c r="H24" s="17" t="n">
        <f aca="false">E24*F24</f>
        <v>648</v>
      </c>
      <c r="I24" s="11" t="s">
        <v>364</v>
      </c>
      <c r="J24" s="11" t="s">
        <v>347</v>
      </c>
      <c r="K24" s="11" t="n">
        <v>15</v>
      </c>
      <c r="L24" s="11" t="n">
        <v>25</v>
      </c>
      <c r="M24" s="11" t="n">
        <v>30</v>
      </c>
      <c r="N24" s="11" t="s">
        <v>337</v>
      </c>
      <c r="O24" s="11" t="s">
        <v>356</v>
      </c>
      <c r="P24" s="11" t="s">
        <v>339</v>
      </c>
      <c r="Q24" s="16" t="n">
        <v>390</v>
      </c>
      <c r="R24" s="18" t="n">
        <v>9</v>
      </c>
      <c r="S24" s="11" t="n">
        <v>4</v>
      </c>
    </row>
    <row r="25" customFormat="false" ht="15" hidden="false" customHeight="false" outlineLevel="0" collapsed="false">
      <c r="A25" s="10" t="s">
        <v>244</v>
      </c>
      <c r="B25" s="11" t="str">
        <f aca="false">IFERROR(INDEX(Productos!$B:$B,MATCH($A25,Productos!$A:$A,0)),"")</f>
        <v>Gaseosa Colombiana</v>
      </c>
      <c r="C25" s="14" t="n">
        <v>1.55</v>
      </c>
      <c r="D25" s="11" t="n">
        <v>6</v>
      </c>
      <c r="E25" s="15" t="n">
        <f aca="false">C25*D25</f>
        <v>9.3</v>
      </c>
      <c r="F25" s="11" t="n">
        <v>70</v>
      </c>
      <c r="G25" s="16" t="n">
        <f aca="false">D25*F25</f>
        <v>420</v>
      </c>
      <c r="H25" s="17" t="n">
        <f aca="false">E25*F25</f>
        <v>651</v>
      </c>
      <c r="I25" s="11" t="s">
        <v>365</v>
      </c>
      <c r="J25" s="11" t="s">
        <v>347</v>
      </c>
      <c r="K25" s="11" t="n">
        <v>10</v>
      </c>
      <c r="L25" s="11" t="n">
        <v>30</v>
      </c>
      <c r="M25" s="11" t="n">
        <v>180</v>
      </c>
      <c r="N25" s="11" t="s">
        <v>337</v>
      </c>
      <c r="O25" s="11" t="s">
        <v>350</v>
      </c>
      <c r="P25" s="11" t="s">
        <v>366</v>
      </c>
      <c r="Q25" s="16" t="n">
        <v>640</v>
      </c>
      <c r="R25" s="18" t="n">
        <v>13</v>
      </c>
      <c r="S25" s="11" t="n">
        <v>4</v>
      </c>
    </row>
    <row r="26" customFormat="false" ht="15" hidden="false" customHeight="false" outlineLevel="0" collapsed="false">
      <c r="A26" s="10" t="s">
        <v>255</v>
      </c>
      <c r="B26" s="11" t="str">
        <f aca="false">IFERROR(INDEX(Productos!$B:$B,MATCH($A26,Productos!$A:$A,0)),"")</f>
        <v>Aguardiente tradicional</v>
      </c>
      <c r="C26" s="14" t="n">
        <v>1.2</v>
      </c>
      <c r="D26" s="11" t="n">
        <v>12</v>
      </c>
      <c r="E26" s="15" t="n">
        <f aca="false">C26*D26</f>
        <v>14.4</v>
      </c>
      <c r="F26" s="11" t="n">
        <v>50</v>
      </c>
      <c r="G26" s="16" t="n">
        <f aca="false">D26*F26</f>
        <v>600</v>
      </c>
      <c r="H26" s="17" t="n">
        <f aca="false">E26*F26</f>
        <v>720</v>
      </c>
      <c r="I26" s="11" t="s">
        <v>367</v>
      </c>
      <c r="J26" s="11" t="s">
        <v>347</v>
      </c>
      <c r="K26" s="11" t="n">
        <v>15</v>
      </c>
      <c r="L26" s="11" t="n">
        <v>30</v>
      </c>
      <c r="M26" s="11" t="n">
        <v>1095</v>
      </c>
      <c r="N26" s="11" t="s">
        <v>337</v>
      </c>
      <c r="O26" s="11" t="s">
        <v>368</v>
      </c>
      <c r="P26" s="11" t="s">
        <v>339</v>
      </c>
      <c r="Q26" s="16" t="n">
        <v>420</v>
      </c>
      <c r="R26" s="18" t="n">
        <v>9.5</v>
      </c>
      <c r="S26" s="11" t="n">
        <v>2</v>
      </c>
    </row>
    <row r="27" customFormat="false" ht="15" hidden="false" customHeight="false" outlineLevel="0" collapsed="false">
      <c r="A27" s="10" t="s">
        <v>265</v>
      </c>
      <c r="B27" s="11" t="str">
        <f aca="false">IFERROR(INDEX(Productos!$B:$B,MATCH($A27,Productos!$A:$A,0)),"")</f>
        <v>Bon Bon Bum surtido</v>
      </c>
      <c r="C27" s="14" t="n">
        <v>0.4</v>
      </c>
      <c r="D27" s="11" t="n">
        <v>12</v>
      </c>
      <c r="E27" s="15" t="n">
        <f aca="false">C27*D27</f>
        <v>4.8</v>
      </c>
      <c r="F27" s="11" t="n">
        <v>150</v>
      </c>
      <c r="G27" s="16" t="n">
        <f aca="false">D27*F27</f>
        <v>1800</v>
      </c>
      <c r="H27" s="17" t="n">
        <f aca="false">E27*F27</f>
        <v>720</v>
      </c>
      <c r="I27" s="11" t="s">
        <v>352</v>
      </c>
      <c r="J27" s="11" t="s">
        <v>347</v>
      </c>
      <c r="K27" s="11" t="n">
        <v>15</v>
      </c>
      <c r="L27" s="11" t="n">
        <v>25</v>
      </c>
      <c r="M27" s="11" t="n">
        <v>540</v>
      </c>
      <c r="N27" s="11" t="s">
        <v>337</v>
      </c>
      <c r="O27" s="11" t="s">
        <v>369</v>
      </c>
      <c r="P27" s="11" t="s">
        <v>339</v>
      </c>
      <c r="Q27" s="16" t="n">
        <v>340</v>
      </c>
      <c r="R27" s="18" t="n">
        <v>8</v>
      </c>
      <c r="S27" s="11" t="n">
        <v>5</v>
      </c>
    </row>
    <row r="28" customFormat="false" ht="15" hidden="false" customHeight="false" outlineLevel="0" collapsed="false">
      <c r="A28" s="10" t="s">
        <v>275</v>
      </c>
      <c r="B28" s="11" t="str">
        <f aca="false">IFERROR(INDEX(Productos!$B:$B,MATCH($A28,Productos!$A:$A,0)),"")</f>
        <v>Chocolatina Jet</v>
      </c>
      <c r="C28" s="14" t="n">
        <v>0.3</v>
      </c>
      <c r="D28" s="11" t="n">
        <v>24</v>
      </c>
      <c r="E28" s="15" t="n">
        <f aca="false">C28*D28</f>
        <v>7.2</v>
      </c>
      <c r="F28" s="11" t="n">
        <v>100</v>
      </c>
      <c r="G28" s="16" t="n">
        <f aca="false">D28*F28</f>
        <v>2400</v>
      </c>
      <c r="H28" s="17" t="n">
        <f aca="false">E28*F28</f>
        <v>720</v>
      </c>
      <c r="I28" s="11" t="s">
        <v>352</v>
      </c>
      <c r="J28" s="11" t="s">
        <v>347</v>
      </c>
      <c r="K28" s="11" t="n">
        <v>15</v>
      </c>
      <c r="L28" s="11" t="n">
        <v>25</v>
      </c>
      <c r="M28" s="11" t="n">
        <v>365</v>
      </c>
      <c r="N28" s="11" t="s">
        <v>337</v>
      </c>
      <c r="O28" s="11" t="s">
        <v>350</v>
      </c>
      <c r="P28" s="11" t="s">
        <v>353</v>
      </c>
      <c r="Q28" s="16" t="n">
        <v>690</v>
      </c>
      <c r="R28" s="18" t="n">
        <v>14</v>
      </c>
      <c r="S28" s="11" t="n">
        <v>4</v>
      </c>
    </row>
    <row r="29" customFormat="false" ht="15" hidden="false" customHeight="false" outlineLevel="0" collapsed="false">
      <c r="A29" s="10" t="s">
        <v>283</v>
      </c>
      <c r="B29" s="11" t="str">
        <f aca="false">IFERROR(INDEX(Productos!$B:$B,MATCH($A29,Productos!$A:$A,0)),"")</f>
        <v>Papas fritas sabor pollo</v>
      </c>
      <c r="C29" s="14" t="n">
        <v>0.105</v>
      </c>
      <c r="D29" s="11" t="n">
        <v>36</v>
      </c>
      <c r="E29" s="15" t="n">
        <f aca="false">C29*D29</f>
        <v>3.78</v>
      </c>
      <c r="F29" s="11" t="n">
        <v>160</v>
      </c>
      <c r="G29" s="16" t="n">
        <f aca="false">D29*F29</f>
        <v>5760</v>
      </c>
      <c r="H29" s="17" t="n">
        <f aca="false">E29*F29</f>
        <v>604.8</v>
      </c>
      <c r="I29" s="11" t="s">
        <v>352</v>
      </c>
      <c r="J29" s="11" t="s">
        <v>347</v>
      </c>
      <c r="K29" s="11" t="n">
        <v>15</v>
      </c>
      <c r="L29" s="11" t="n">
        <v>30</v>
      </c>
      <c r="M29" s="11" t="n">
        <v>120</v>
      </c>
      <c r="N29" s="11" t="s">
        <v>337</v>
      </c>
      <c r="O29" s="11" t="s">
        <v>350</v>
      </c>
      <c r="P29" s="11" t="s">
        <v>341</v>
      </c>
      <c r="Q29" s="16" t="n">
        <v>430</v>
      </c>
      <c r="R29" s="18" t="n">
        <v>9</v>
      </c>
      <c r="S29" s="11" t="n">
        <v>3</v>
      </c>
    </row>
    <row r="30" customFormat="false" ht="15" hidden="false" customHeight="false" outlineLevel="0" collapsed="false">
      <c r="A30" s="10" t="s">
        <v>292</v>
      </c>
      <c r="B30" s="11" t="str">
        <f aca="false">IFERROR(INDEX(Productos!$B:$B,MATCH($A30,Productos!$A:$A,0)),"")</f>
        <v>Galletas Saltín</v>
      </c>
      <c r="C30" s="14" t="n">
        <v>0.3</v>
      </c>
      <c r="D30" s="11" t="n">
        <v>20</v>
      </c>
      <c r="E30" s="15" t="n">
        <f aca="false">C30*D30</f>
        <v>6</v>
      </c>
      <c r="F30" s="11" t="n">
        <v>110</v>
      </c>
      <c r="G30" s="16" t="n">
        <f aca="false">D30*F30</f>
        <v>2200</v>
      </c>
      <c r="H30" s="17" t="n">
        <f aca="false">E30*F30</f>
        <v>660</v>
      </c>
      <c r="I30" s="11" t="s">
        <v>352</v>
      </c>
      <c r="J30" s="11" t="s">
        <v>347</v>
      </c>
      <c r="K30" s="11" t="n">
        <v>15</v>
      </c>
      <c r="L30" s="11" t="n">
        <v>30</v>
      </c>
      <c r="M30" s="11" t="n">
        <v>180</v>
      </c>
      <c r="N30" s="11" t="s">
        <v>337</v>
      </c>
      <c r="O30" s="11" t="s">
        <v>350</v>
      </c>
      <c r="P30" s="11" t="s">
        <v>339</v>
      </c>
      <c r="Q30" s="16" t="n">
        <v>415</v>
      </c>
      <c r="R30" s="18" t="n">
        <v>9.5</v>
      </c>
      <c r="S30" s="11" t="n">
        <v>5</v>
      </c>
    </row>
    <row r="31" customFormat="false" ht="15" hidden="false" customHeight="false" outlineLevel="0" collapsed="false">
      <c r="A31" s="10" t="s">
        <v>302</v>
      </c>
      <c r="B31" s="11" t="str">
        <f aca="false">IFERROR(INDEX(Productos!$B:$B,MATCH($A31,Productos!$A:$A,0)),"")</f>
        <v>Papel higiénico</v>
      </c>
      <c r="C31" s="14" t="n">
        <v>1.2</v>
      </c>
      <c r="D31" s="11" t="n">
        <v>4</v>
      </c>
      <c r="E31" s="15" t="n">
        <f aca="false">C31*D31</f>
        <v>4.8</v>
      </c>
      <c r="F31" s="11" t="n">
        <v>80</v>
      </c>
      <c r="G31" s="16" t="n">
        <f aca="false">D31*F31</f>
        <v>320</v>
      </c>
      <c r="H31" s="17" t="n">
        <f aca="false">E31*F31</f>
        <v>384</v>
      </c>
      <c r="I31" s="11" t="s">
        <v>365</v>
      </c>
      <c r="J31" s="11" t="s">
        <v>347</v>
      </c>
      <c r="K31" s="11" t="n">
        <v>15</v>
      </c>
      <c r="L31" s="11" t="n">
        <v>30</v>
      </c>
      <c r="M31" s="11" t="s">
        <v>370</v>
      </c>
      <c r="N31" s="11" t="s">
        <v>358</v>
      </c>
      <c r="O31" s="11" t="s">
        <v>350</v>
      </c>
      <c r="P31" s="11" t="s">
        <v>339</v>
      </c>
      <c r="Q31" s="16" t="n">
        <v>415</v>
      </c>
      <c r="R31" s="18" t="n">
        <v>9.5</v>
      </c>
      <c r="S31" s="11" t="n">
        <v>6</v>
      </c>
    </row>
  </sheetData>
  <autoFilter ref="A1:S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7" min="5" style="0" width="16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2"/>
  </cols>
  <sheetData>
    <row r="1" customFormat="false" ht="33.75" hidden="false" customHeight="true" outlineLevel="0" collapsed="false">
      <c r="A1" s="9" t="s">
        <v>371</v>
      </c>
      <c r="B1" s="9" t="s">
        <v>372</v>
      </c>
      <c r="C1" s="9" t="s">
        <v>373</v>
      </c>
      <c r="D1" s="9" t="s">
        <v>374</v>
      </c>
      <c r="E1" s="9" t="s">
        <v>375</v>
      </c>
      <c r="F1" s="9" t="s">
        <v>376</v>
      </c>
      <c r="G1" s="9" t="s">
        <v>377</v>
      </c>
      <c r="H1" s="9" t="s">
        <v>378</v>
      </c>
      <c r="I1" s="9" t="s">
        <v>379</v>
      </c>
      <c r="J1" s="9" t="s">
        <v>380</v>
      </c>
    </row>
    <row r="2" customFormat="false" ht="15" hidden="false" customHeight="false" outlineLevel="0" collapsed="false">
      <c r="A2" s="11" t="s">
        <v>381</v>
      </c>
      <c r="B2" s="11" t="s">
        <v>382</v>
      </c>
      <c r="C2" s="11" t="s">
        <v>383</v>
      </c>
      <c r="D2" s="11" t="s">
        <v>384</v>
      </c>
      <c r="E2" s="11" t="s">
        <v>350</v>
      </c>
      <c r="F2" s="11" t="s">
        <v>65</v>
      </c>
      <c r="G2" s="11" t="s">
        <v>333</v>
      </c>
      <c r="H2" s="11" t="n">
        <v>1</v>
      </c>
      <c r="I2" s="11" t="s">
        <v>385</v>
      </c>
      <c r="J2" s="11" t="s">
        <v>330</v>
      </c>
    </row>
    <row r="3" customFormat="false" ht="15" hidden="false" customHeight="false" outlineLevel="0" collapsed="false">
      <c r="A3" s="11" t="s">
        <v>386</v>
      </c>
      <c r="B3" s="11" t="s">
        <v>387</v>
      </c>
      <c r="C3" s="11" t="s">
        <v>388</v>
      </c>
      <c r="D3" s="11" t="s">
        <v>384</v>
      </c>
      <c r="E3" s="11" t="s">
        <v>389</v>
      </c>
      <c r="F3" s="11" t="s">
        <v>76</v>
      </c>
      <c r="G3" s="11" t="s">
        <v>339</v>
      </c>
      <c r="H3" s="11" t="n">
        <v>1.5</v>
      </c>
      <c r="I3" s="11" t="s">
        <v>385</v>
      </c>
      <c r="J3" s="11" t="s">
        <v>330</v>
      </c>
    </row>
    <row r="4" customFormat="false" ht="15" hidden="false" customHeight="false" outlineLevel="0" collapsed="false">
      <c r="A4" s="11" t="s">
        <v>390</v>
      </c>
      <c r="B4" s="11" t="s">
        <v>391</v>
      </c>
      <c r="C4" s="11" t="s">
        <v>392</v>
      </c>
      <c r="D4" s="11" t="s">
        <v>393</v>
      </c>
      <c r="E4" s="11" t="s">
        <v>389</v>
      </c>
      <c r="F4" s="11" t="s">
        <v>76</v>
      </c>
      <c r="G4" s="11" t="s">
        <v>339</v>
      </c>
      <c r="H4" s="11" t="n">
        <v>1.5</v>
      </c>
      <c r="I4" s="11" t="s">
        <v>385</v>
      </c>
      <c r="J4" s="11" t="s">
        <v>330</v>
      </c>
    </row>
    <row r="5" customFormat="false" ht="15" hidden="false" customHeight="false" outlineLevel="0" collapsed="false">
      <c r="A5" s="11" t="s">
        <v>394</v>
      </c>
      <c r="B5" s="11" t="s">
        <v>395</v>
      </c>
      <c r="C5" s="11" t="s">
        <v>396</v>
      </c>
      <c r="D5" s="11" t="s">
        <v>397</v>
      </c>
      <c r="E5" s="11" t="s">
        <v>398</v>
      </c>
      <c r="F5" s="11" t="s">
        <v>399</v>
      </c>
      <c r="G5" s="11" t="s">
        <v>353</v>
      </c>
      <c r="H5" s="11" t="n">
        <v>1</v>
      </c>
      <c r="I5" s="11" t="s">
        <v>385</v>
      </c>
      <c r="J5" s="11" t="s">
        <v>330</v>
      </c>
    </row>
    <row r="6" customFormat="false" ht="15" hidden="false" customHeight="false" outlineLevel="0" collapsed="false">
      <c r="A6" s="11" t="s">
        <v>400</v>
      </c>
      <c r="B6" s="11" t="s">
        <v>401</v>
      </c>
      <c r="C6" s="11" t="s">
        <v>402</v>
      </c>
      <c r="D6" s="11" t="s">
        <v>403</v>
      </c>
      <c r="E6" s="11" t="s">
        <v>361</v>
      </c>
      <c r="F6" s="11" t="s">
        <v>211</v>
      </c>
      <c r="G6" s="11" t="s">
        <v>341</v>
      </c>
      <c r="H6" s="11" t="n">
        <v>1.5</v>
      </c>
      <c r="I6" s="11" t="s">
        <v>404</v>
      </c>
      <c r="J6" s="11" t="s">
        <v>330</v>
      </c>
    </row>
    <row r="7" customFormat="false" ht="15" hidden="false" customHeight="false" outlineLevel="0" collapsed="false">
      <c r="A7" s="11" t="s">
        <v>405</v>
      </c>
      <c r="B7" s="11" t="s">
        <v>406</v>
      </c>
      <c r="C7" s="11" t="s">
        <v>407</v>
      </c>
      <c r="D7" s="11" t="s">
        <v>403</v>
      </c>
      <c r="E7" s="11" t="s">
        <v>350</v>
      </c>
      <c r="F7" s="11" t="s">
        <v>65</v>
      </c>
      <c r="G7" s="11" t="s">
        <v>333</v>
      </c>
      <c r="H7" s="11" t="n">
        <v>1.5</v>
      </c>
      <c r="I7" s="11" t="s">
        <v>404</v>
      </c>
      <c r="J7" s="11" t="s">
        <v>330</v>
      </c>
    </row>
    <row r="8" customFormat="false" ht="15" hidden="false" customHeight="false" outlineLevel="0" collapsed="false">
      <c r="A8" s="11" t="s">
        <v>408</v>
      </c>
      <c r="B8" s="11" t="s">
        <v>409</v>
      </c>
      <c r="C8" s="11" t="s">
        <v>410</v>
      </c>
      <c r="D8" s="11" t="s">
        <v>411</v>
      </c>
      <c r="E8" s="11" t="s">
        <v>361</v>
      </c>
      <c r="F8" s="11" t="s">
        <v>211</v>
      </c>
      <c r="G8" s="11" t="s">
        <v>341</v>
      </c>
      <c r="H8" s="11" t="n">
        <v>1</v>
      </c>
      <c r="I8" s="11" t="s">
        <v>412</v>
      </c>
      <c r="J8" s="11" t="s">
        <v>330</v>
      </c>
    </row>
    <row r="9" customFormat="false" ht="15" hidden="false" customHeight="false" outlineLevel="0" collapsed="false">
      <c r="A9" s="11" t="s">
        <v>413</v>
      </c>
      <c r="B9" s="11" t="s">
        <v>414</v>
      </c>
      <c r="C9" s="11" t="s">
        <v>415</v>
      </c>
      <c r="D9" s="11" t="s">
        <v>403</v>
      </c>
      <c r="E9" s="11" t="s">
        <v>389</v>
      </c>
      <c r="F9" s="11" t="s">
        <v>76</v>
      </c>
      <c r="G9" s="11" t="s">
        <v>339</v>
      </c>
      <c r="H9" s="11" t="n">
        <v>2</v>
      </c>
      <c r="I9" s="11" t="s">
        <v>404</v>
      </c>
      <c r="J9" s="11" t="s">
        <v>347</v>
      </c>
    </row>
    <row r="10" customFormat="false" ht="15" hidden="false" customHeight="false" outlineLevel="0" collapsed="false">
      <c r="A10" s="11" t="s">
        <v>416</v>
      </c>
      <c r="B10" s="11" t="s">
        <v>417</v>
      </c>
      <c r="C10" s="11" t="s">
        <v>418</v>
      </c>
      <c r="D10" s="11" t="s">
        <v>397</v>
      </c>
      <c r="E10" s="11" t="s">
        <v>356</v>
      </c>
      <c r="F10" s="11" t="s">
        <v>157</v>
      </c>
      <c r="G10" s="11" t="s">
        <v>339</v>
      </c>
      <c r="H10" s="11" t="n">
        <v>9</v>
      </c>
      <c r="I10" s="11" t="s">
        <v>412</v>
      </c>
      <c r="J10" s="11" t="s">
        <v>330</v>
      </c>
    </row>
    <row r="11" customFormat="false" ht="15" hidden="false" customHeight="false" outlineLevel="0" collapsed="false">
      <c r="A11" s="11" t="s">
        <v>419</v>
      </c>
      <c r="B11" s="11" t="s">
        <v>420</v>
      </c>
      <c r="C11" s="11" t="s">
        <v>383</v>
      </c>
      <c r="D11" s="11" t="s">
        <v>397</v>
      </c>
      <c r="E11" s="11" t="s">
        <v>421</v>
      </c>
      <c r="F11" s="11" t="s">
        <v>422</v>
      </c>
      <c r="G11" s="11" t="s">
        <v>366</v>
      </c>
      <c r="H11" s="11" t="n">
        <v>1.5</v>
      </c>
      <c r="I11" s="11" t="s">
        <v>385</v>
      </c>
      <c r="J11" s="11" t="s">
        <v>330</v>
      </c>
    </row>
    <row r="12" customFormat="false" ht="15" hidden="false" customHeight="false" outlineLevel="0" collapsed="false">
      <c r="A12" s="11" t="s">
        <v>423</v>
      </c>
      <c r="B12" s="11" t="s">
        <v>424</v>
      </c>
      <c r="C12" s="11" t="s">
        <v>425</v>
      </c>
      <c r="D12" s="11" t="s">
        <v>426</v>
      </c>
      <c r="E12" s="11" t="s">
        <v>389</v>
      </c>
      <c r="F12" s="11" t="s">
        <v>76</v>
      </c>
      <c r="G12" s="11" t="s">
        <v>339</v>
      </c>
      <c r="H12" s="11" t="n">
        <v>2</v>
      </c>
      <c r="I12" s="11" t="s">
        <v>412</v>
      </c>
      <c r="J12" s="11" t="s">
        <v>347</v>
      </c>
    </row>
  </sheetData>
  <autoFilter ref="A1:J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8"/>
  </cols>
  <sheetData>
    <row r="1" customFormat="false" ht="33.75" hidden="false" customHeight="true" outlineLevel="0" collapsed="false">
      <c r="A1" s="9" t="s">
        <v>427</v>
      </c>
      <c r="B1" s="9" t="s">
        <v>35</v>
      </c>
      <c r="C1" s="13" t="s">
        <v>36</v>
      </c>
      <c r="D1" s="9" t="s">
        <v>371</v>
      </c>
      <c r="E1" s="13" t="s">
        <v>372</v>
      </c>
      <c r="F1" s="13" t="s">
        <v>375</v>
      </c>
      <c r="G1" s="9" t="s">
        <v>428</v>
      </c>
      <c r="H1" s="9" t="s">
        <v>429</v>
      </c>
      <c r="I1" s="9" t="s">
        <v>430</v>
      </c>
      <c r="J1" s="13" t="s">
        <v>431</v>
      </c>
      <c r="K1" s="13" t="s">
        <v>432</v>
      </c>
    </row>
    <row r="2" customFormat="false" ht="15" hidden="false" customHeight="false" outlineLevel="0" collapsed="false">
      <c r="A2" s="11" t="s">
        <v>433</v>
      </c>
      <c r="B2" s="10" t="s">
        <v>235</v>
      </c>
      <c r="C2" s="11" t="str">
        <f aca="false">IFERROR(INDEX(Productos!$B:$B,MATCH($B2,Productos!$A:$A,0)),"")</f>
        <v>Huevos AA</v>
      </c>
      <c r="D2" s="11" t="s">
        <v>394</v>
      </c>
      <c r="E2" s="11" t="str">
        <f aca="false">IFERROR(INDEX(Tiendas!$B:$B,MATCH($D2,Tiendas!$A:$A,0)),"")</f>
        <v>Olímpica Barranquilla</v>
      </c>
      <c r="F2" s="11" t="str">
        <f aca="false">IFERROR(INDEX(Tiendas!$E:$E,MATCH($D2,Tiendas!$A:$A,0)),"")</f>
        <v>Barranquilla</v>
      </c>
      <c r="G2" s="19" t="n">
        <v>23200</v>
      </c>
      <c r="H2" s="16" t="n">
        <v>50</v>
      </c>
      <c r="I2" s="16" t="n">
        <v>40</v>
      </c>
      <c r="J2" s="11" t="str">
        <f aca="false">IF(H2&lt;I2,"Reabastecer","OK")</f>
        <v>OK</v>
      </c>
      <c r="K2" s="19" t="n">
        <f aca="false">G2*H2</f>
        <v>1160000</v>
      </c>
    </row>
    <row r="3" customFormat="false" ht="15" hidden="false" customHeight="false" outlineLevel="0" collapsed="false">
      <c r="A3" s="11" t="s">
        <v>434</v>
      </c>
      <c r="B3" s="10" t="s">
        <v>149</v>
      </c>
      <c r="C3" s="11" t="str">
        <f aca="false">IFERROR(INDEX(Productos!$B:$B,MATCH($B3,Productos!$A:$A,0)),"")</f>
        <v>Pulpa de mora congelada</v>
      </c>
      <c r="D3" s="11" t="s">
        <v>381</v>
      </c>
      <c r="E3" s="11" t="str">
        <f aca="false">IFERROR(INDEX(Tiendas!$B:$B,MATCH($D3,Tiendas!$A:$A,0)),"")</f>
        <v>Éxito Medellín</v>
      </c>
      <c r="F3" s="11" t="str">
        <f aca="false">IFERROR(INDEX(Tiendas!$E:$E,MATCH($D3,Tiendas!$A:$A,0)),"")</f>
        <v>Medellín</v>
      </c>
      <c r="G3" s="19" t="n">
        <v>9300</v>
      </c>
      <c r="H3" s="16" t="n">
        <v>214</v>
      </c>
      <c r="I3" s="16" t="n">
        <v>154</v>
      </c>
      <c r="J3" s="11" t="str">
        <f aca="false">IF(H3&lt;I3,"Reabastecer","OK")</f>
        <v>OK</v>
      </c>
      <c r="K3" s="19" t="n">
        <f aca="false">G3*H3</f>
        <v>1990200</v>
      </c>
    </row>
    <row r="4" customFormat="false" ht="15" hidden="false" customHeight="false" outlineLevel="0" collapsed="false">
      <c r="A4" s="11" t="s">
        <v>435</v>
      </c>
      <c r="B4" s="10" t="s">
        <v>78</v>
      </c>
      <c r="C4" s="11" t="str">
        <f aca="false">IFERROR(INDEX(Productos!$B:$B,MATCH($B4,Productos!$A:$A,0)),"")</f>
        <v>Plátano hartón</v>
      </c>
      <c r="D4" s="11" t="s">
        <v>416</v>
      </c>
      <c r="E4" s="11" t="str">
        <f aca="false">IFERROR(INDEX(Tiendas!$B:$B,MATCH($D4,Tiendas!$A:$A,0)),"")</f>
        <v>Surtimax Bucaramanga</v>
      </c>
      <c r="F4" s="11" t="str">
        <f aca="false">IFERROR(INDEX(Tiendas!$E:$E,MATCH($D4,Tiendas!$A:$A,0)),"")</f>
        <v>Bucaramanga</v>
      </c>
      <c r="G4" s="19" t="n">
        <v>4100</v>
      </c>
      <c r="H4" s="16" t="n">
        <v>116</v>
      </c>
      <c r="I4" s="16" t="n">
        <v>86</v>
      </c>
      <c r="J4" s="11" t="str">
        <f aca="false">IF(H4&lt;I4,"Reabastecer","OK")</f>
        <v>OK</v>
      </c>
      <c r="K4" s="19" t="n">
        <f aca="false">G4*H4</f>
        <v>475600</v>
      </c>
    </row>
    <row r="5" customFormat="false" ht="15" hidden="false" customHeight="false" outlineLevel="0" collapsed="false">
      <c r="A5" s="11" t="s">
        <v>436</v>
      </c>
      <c r="B5" s="10" t="s">
        <v>159</v>
      </c>
      <c r="C5" s="11" t="str">
        <f aca="false">IFERROR(INDEX(Productos!$B:$B,MATCH($B5,Productos!$A:$A,0)),"")</f>
        <v>Arroz blanco</v>
      </c>
      <c r="D5" s="11" t="s">
        <v>419</v>
      </c>
      <c r="E5" s="11" t="str">
        <f aca="false">IFERROR(INDEX(Tiendas!$B:$B,MATCH($D5,Tiendas!$A:$A,0)),"")</f>
        <v>Éxito Cartagena</v>
      </c>
      <c r="F5" s="11" t="str">
        <f aca="false">IFERROR(INDEX(Tiendas!$E:$E,MATCH($D5,Tiendas!$A:$A,0)),"")</f>
        <v>Cartagena</v>
      </c>
      <c r="G5" s="19" t="n">
        <v>5800</v>
      </c>
      <c r="H5" s="16" t="n">
        <v>42</v>
      </c>
      <c r="I5" s="16" t="n">
        <v>19</v>
      </c>
      <c r="J5" s="11" t="str">
        <f aca="false">IF(H5&lt;I5,"Reabastecer","OK")</f>
        <v>OK</v>
      </c>
      <c r="K5" s="19" t="n">
        <f aca="false">G5*H5</f>
        <v>243600</v>
      </c>
    </row>
    <row r="6" customFormat="false" ht="15" hidden="false" customHeight="false" outlineLevel="0" collapsed="false">
      <c r="A6" s="11" t="s">
        <v>437</v>
      </c>
      <c r="B6" s="10" t="s">
        <v>302</v>
      </c>
      <c r="C6" s="11" t="str">
        <f aca="false">IFERROR(INDEX(Productos!$B:$B,MATCH($B6,Productos!$A:$A,0)),"")</f>
        <v>Papel higiénico</v>
      </c>
      <c r="D6" s="11" t="s">
        <v>381</v>
      </c>
      <c r="E6" s="11" t="str">
        <f aca="false">IFERROR(INDEX(Tiendas!$B:$B,MATCH($D6,Tiendas!$A:$A,0)),"")</f>
        <v>Éxito Medellín</v>
      </c>
      <c r="F6" s="11" t="str">
        <f aca="false">IFERROR(INDEX(Tiendas!$E:$E,MATCH($D6,Tiendas!$A:$A,0)),"")</f>
        <v>Medellín</v>
      </c>
      <c r="G6" s="19" t="n">
        <v>23900</v>
      </c>
      <c r="H6" s="16" t="n">
        <v>174</v>
      </c>
      <c r="I6" s="16" t="n">
        <v>126</v>
      </c>
      <c r="J6" s="11" t="str">
        <f aca="false">IF(H6&lt;I6,"Reabastecer","OK")</f>
        <v>OK</v>
      </c>
      <c r="K6" s="19" t="n">
        <f aca="false">G6*H6</f>
        <v>4158600</v>
      </c>
    </row>
    <row r="7" customFormat="false" ht="15" hidden="false" customHeight="false" outlineLevel="0" collapsed="false">
      <c r="A7" s="11" t="s">
        <v>438</v>
      </c>
      <c r="B7" s="10" t="s">
        <v>48</v>
      </c>
      <c r="C7" s="11" t="str">
        <f aca="false">IFERROR(INDEX(Productos!$B:$B,MATCH($B7,Productos!$A:$A,0)),"")</f>
        <v>Banano premium</v>
      </c>
      <c r="D7" s="11" t="s">
        <v>405</v>
      </c>
      <c r="E7" s="11" t="str">
        <f aca="false">IFERROR(INDEX(Tiendas!$B:$B,MATCH($D7,Tiendas!$A:$A,0)),"")</f>
        <v>Ara Medellín</v>
      </c>
      <c r="F7" s="11" t="str">
        <f aca="false">IFERROR(INDEX(Tiendas!$E:$E,MATCH($D7,Tiendas!$A:$A,0)),"")</f>
        <v>Medellín</v>
      </c>
      <c r="G7" s="19" t="n">
        <v>4000</v>
      </c>
      <c r="H7" s="16" t="n">
        <v>41</v>
      </c>
      <c r="I7" s="16" t="n">
        <v>29</v>
      </c>
      <c r="J7" s="11" t="str">
        <f aca="false">IF(H7&lt;I7,"Reabastecer","OK")</f>
        <v>OK</v>
      </c>
      <c r="K7" s="19" t="n">
        <f aca="false">G7*H7</f>
        <v>164000</v>
      </c>
    </row>
    <row r="8" customFormat="false" ht="15" hidden="false" customHeight="false" outlineLevel="0" collapsed="false">
      <c r="A8" s="11" t="s">
        <v>439</v>
      </c>
      <c r="B8" s="10" t="s">
        <v>149</v>
      </c>
      <c r="C8" s="11" t="str">
        <f aca="false">IFERROR(INDEX(Productos!$B:$B,MATCH($B8,Productos!$A:$A,0)),"")</f>
        <v>Pulpa de mora congelada</v>
      </c>
      <c r="D8" s="11" t="s">
        <v>400</v>
      </c>
      <c r="E8" s="11" t="str">
        <f aca="false">IFERROR(INDEX(Tiendas!$B:$B,MATCH($D8,Tiendas!$A:$A,0)),"")</f>
        <v>D1 Cali</v>
      </c>
      <c r="F8" s="11" t="str">
        <f aca="false">IFERROR(INDEX(Tiendas!$E:$E,MATCH($D8,Tiendas!$A:$A,0)),"")</f>
        <v>Cali</v>
      </c>
      <c r="G8" s="19" t="n">
        <v>10200</v>
      </c>
      <c r="H8" s="16" t="n">
        <v>131</v>
      </c>
      <c r="I8" s="16" t="n">
        <v>83</v>
      </c>
      <c r="J8" s="11" t="str">
        <f aca="false">IF(H8&lt;I8,"Reabastecer","OK")</f>
        <v>OK</v>
      </c>
      <c r="K8" s="19" t="n">
        <f aca="false">G8*H8</f>
        <v>1336200</v>
      </c>
    </row>
    <row r="9" customFormat="false" ht="15" hidden="false" customHeight="false" outlineLevel="0" collapsed="false">
      <c r="A9" s="11" t="s">
        <v>440</v>
      </c>
      <c r="B9" s="10" t="s">
        <v>228</v>
      </c>
      <c r="C9" s="11" t="str">
        <f aca="false">IFERROR(INDEX(Productos!$B:$B,MATCH($B9,Productos!$A:$A,0)),"")</f>
        <v>Arequipe</v>
      </c>
      <c r="D9" s="11" t="s">
        <v>386</v>
      </c>
      <c r="E9" s="11" t="str">
        <f aca="false">IFERROR(INDEX(Tiendas!$B:$B,MATCH($D9,Tiendas!$A:$A,0)),"")</f>
        <v>Jumbo Bogotá</v>
      </c>
      <c r="F9" s="11" t="str">
        <f aca="false">IFERROR(INDEX(Tiendas!$E:$E,MATCH($D9,Tiendas!$A:$A,0)),"")</f>
        <v>Bogotá D.C.</v>
      </c>
      <c r="G9" s="19" t="n">
        <v>8600</v>
      </c>
      <c r="H9" s="16" t="n">
        <v>65</v>
      </c>
      <c r="I9" s="16" t="n">
        <v>87</v>
      </c>
      <c r="J9" s="11" t="str">
        <f aca="false">IF(H9&lt;I9,"Reabastecer","OK")</f>
        <v>Reabastecer</v>
      </c>
      <c r="K9" s="19" t="n">
        <f aca="false">G9*H9</f>
        <v>559000</v>
      </c>
    </row>
    <row r="10" customFormat="false" ht="15" hidden="false" customHeight="false" outlineLevel="0" collapsed="false">
      <c r="A10" s="11" t="s">
        <v>441</v>
      </c>
      <c r="B10" s="10" t="s">
        <v>255</v>
      </c>
      <c r="C10" s="11" t="str">
        <f aca="false">IFERROR(INDEX(Productos!$B:$B,MATCH($B10,Productos!$A:$A,0)),"")</f>
        <v>Aguardiente tradicional</v>
      </c>
      <c r="D10" s="11" t="s">
        <v>386</v>
      </c>
      <c r="E10" s="11" t="str">
        <f aca="false">IFERROR(INDEX(Tiendas!$B:$B,MATCH($D10,Tiendas!$A:$A,0)),"")</f>
        <v>Jumbo Bogotá</v>
      </c>
      <c r="F10" s="11" t="str">
        <f aca="false">IFERROR(INDEX(Tiendas!$E:$E,MATCH($D10,Tiendas!$A:$A,0)),"")</f>
        <v>Bogotá D.C.</v>
      </c>
      <c r="G10" s="19" t="n">
        <v>58700</v>
      </c>
      <c r="H10" s="16" t="n">
        <v>265</v>
      </c>
      <c r="I10" s="16" t="n">
        <v>164</v>
      </c>
      <c r="J10" s="11" t="str">
        <f aca="false">IF(H10&lt;I10,"Reabastecer","OK")</f>
        <v>OK</v>
      </c>
      <c r="K10" s="19" t="n">
        <f aca="false">G10*H10</f>
        <v>15555500</v>
      </c>
    </row>
    <row r="11" customFormat="false" ht="15" hidden="false" customHeight="false" outlineLevel="0" collapsed="false">
      <c r="A11" s="11" t="s">
        <v>442</v>
      </c>
      <c r="B11" s="10" t="s">
        <v>283</v>
      </c>
      <c r="C11" s="11" t="str">
        <f aca="false">IFERROR(INDEX(Productos!$B:$B,MATCH($B11,Productos!$A:$A,0)),"")</f>
        <v>Papas fritas sabor pollo</v>
      </c>
      <c r="D11" s="11" t="s">
        <v>394</v>
      </c>
      <c r="E11" s="11" t="str">
        <f aca="false">IFERROR(INDEX(Tiendas!$B:$B,MATCH($D11,Tiendas!$A:$A,0)),"")</f>
        <v>Olímpica Barranquilla</v>
      </c>
      <c r="F11" s="11" t="str">
        <f aca="false">IFERROR(INDEX(Tiendas!$E:$E,MATCH($D11,Tiendas!$A:$A,0)),"")</f>
        <v>Barranquilla</v>
      </c>
      <c r="G11" s="19" t="n">
        <v>5000</v>
      </c>
      <c r="H11" s="16" t="n">
        <v>17</v>
      </c>
      <c r="I11" s="16" t="n">
        <v>13</v>
      </c>
      <c r="J11" s="11" t="str">
        <f aca="false">IF(H11&lt;I11,"Reabastecer","OK")</f>
        <v>OK</v>
      </c>
      <c r="K11" s="19" t="n">
        <f aca="false">G11*H11</f>
        <v>85000</v>
      </c>
    </row>
    <row r="12" customFormat="false" ht="15" hidden="false" customHeight="false" outlineLevel="0" collapsed="false">
      <c r="A12" s="11" t="s">
        <v>443</v>
      </c>
      <c r="B12" s="10" t="s">
        <v>194</v>
      </c>
      <c r="C12" s="11" t="str">
        <f aca="false">IFERROR(INDEX(Productos!$B:$B,MATCH($B12,Productos!$A:$A,0)),"")</f>
        <v>Chocolate de mesa</v>
      </c>
      <c r="D12" s="11" t="s">
        <v>386</v>
      </c>
      <c r="E12" s="11" t="str">
        <f aca="false">IFERROR(INDEX(Tiendas!$B:$B,MATCH($D12,Tiendas!$A:$A,0)),"")</f>
        <v>Jumbo Bogotá</v>
      </c>
      <c r="F12" s="11" t="str">
        <f aca="false">IFERROR(INDEX(Tiendas!$E:$E,MATCH($D12,Tiendas!$A:$A,0)),"")</f>
        <v>Bogotá D.C.</v>
      </c>
      <c r="G12" s="19" t="n">
        <v>17200</v>
      </c>
      <c r="H12" s="16" t="n">
        <v>36</v>
      </c>
      <c r="I12" s="16" t="n">
        <v>47</v>
      </c>
      <c r="J12" s="11" t="str">
        <f aca="false">IF(H12&lt;I12,"Reabastecer","OK")</f>
        <v>Reabastecer</v>
      </c>
      <c r="K12" s="19" t="n">
        <f aca="false">G12*H12</f>
        <v>619200</v>
      </c>
    </row>
    <row r="13" customFormat="false" ht="15" hidden="false" customHeight="false" outlineLevel="0" collapsed="false">
      <c r="A13" s="11" t="s">
        <v>444</v>
      </c>
      <c r="B13" s="10" t="s">
        <v>168</v>
      </c>
      <c r="C13" s="11" t="str">
        <f aca="false">IFERROR(INDEX(Productos!$B:$B,MATCH($B13,Productos!$A:$A,0)),"")</f>
        <v>Panela cuadrada</v>
      </c>
      <c r="D13" s="11" t="s">
        <v>405</v>
      </c>
      <c r="E13" s="11" t="str">
        <f aca="false">IFERROR(INDEX(Tiendas!$B:$B,MATCH($D13,Tiendas!$A:$A,0)),"")</f>
        <v>Ara Medellín</v>
      </c>
      <c r="F13" s="11" t="str">
        <f aca="false">IFERROR(INDEX(Tiendas!$E:$E,MATCH($D13,Tiendas!$A:$A,0)),"")</f>
        <v>Medellín</v>
      </c>
      <c r="G13" s="19" t="n">
        <v>5400</v>
      </c>
      <c r="H13" s="16" t="n">
        <v>95</v>
      </c>
      <c r="I13" s="16" t="n">
        <v>52</v>
      </c>
      <c r="J13" s="11" t="str">
        <f aca="false">IF(H13&lt;I13,"Reabastecer","OK")</f>
        <v>OK</v>
      </c>
      <c r="K13" s="19" t="n">
        <f aca="false">G13*H13</f>
        <v>513000</v>
      </c>
    </row>
    <row r="14" customFormat="false" ht="15" hidden="false" customHeight="false" outlineLevel="0" collapsed="false">
      <c r="A14" s="11" t="s">
        <v>445</v>
      </c>
      <c r="B14" s="10" t="s">
        <v>168</v>
      </c>
      <c r="C14" s="11" t="str">
        <f aca="false">IFERROR(INDEX(Productos!$B:$B,MATCH($B14,Productos!$A:$A,0)),"")</f>
        <v>Panela cuadrada</v>
      </c>
      <c r="D14" s="11" t="s">
        <v>400</v>
      </c>
      <c r="E14" s="11" t="str">
        <f aca="false">IFERROR(INDEX(Tiendas!$B:$B,MATCH($D14,Tiendas!$A:$A,0)),"")</f>
        <v>D1 Cali</v>
      </c>
      <c r="F14" s="11" t="str">
        <f aca="false">IFERROR(INDEX(Tiendas!$E:$E,MATCH($D14,Tiendas!$A:$A,0)),"")</f>
        <v>Cali</v>
      </c>
      <c r="G14" s="19" t="n">
        <v>5200</v>
      </c>
      <c r="H14" s="16" t="n">
        <v>23</v>
      </c>
      <c r="I14" s="16" t="n">
        <v>21</v>
      </c>
      <c r="J14" s="11" t="str">
        <f aca="false">IF(H14&lt;I14,"Reabastecer","OK")</f>
        <v>OK</v>
      </c>
      <c r="K14" s="19" t="n">
        <f aca="false">G14*H14</f>
        <v>119600</v>
      </c>
    </row>
    <row r="15" customFormat="false" ht="15" hidden="false" customHeight="false" outlineLevel="0" collapsed="false">
      <c r="A15" s="11" t="s">
        <v>446</v>
      </c>
      <c r="B15" s="10" t="s">
        <v>159</v>
      </c>
      <c r="C15" s="11" t="str">
        <f aca="false">IFERROR(INDEX(Productos!$B:$B,MATCH($B15,Productos!$A:$A,0)),"")</f>
        <v>Arroz blanco</v>
      </c>
      <c r="D15" s="11" t="s">
        <v>386</v>
      </c>
      <c r="E15" s="11" t="str">
        <f aca="false">IFERROR(INDEX(Tiendas!$B:$B,MATCH($D15,Tiendas!$A:$A,0)),"")</f>
        <v>Jumbo Bogotá</v>
      </c>
      <c r="F15" s="11" t="str">
        <f aca="false">IFERROR(INDEX(Tiendas!$E:$E,MATCH($D15,Tiendas!$A:$A,0)),"")</f>
        <v>Bogotá D.C.</v>
      </c>
      <c r="G15" s="19" t="n">
        <v>5700</v>
      </c>
      <c r="H15" s="16" t="n">
        <v>332</v>
      </c>
      <c r="I15" s="16" t="n">
        <v>171</v>
      </c>
      <c r="J15" s="11" t="str">
        <f aca="false">IF(H15&lt;I15,"Reabastecer","OK")</f>
        <v>OK</v>
      </c>
      <c r="K15" s="19" t="n">
        <f aca="false">G15*H15</f>
        <v>1892400</v>
      </c>
    </row>
    <row r="16" customFormat="false" ht="15" hidden="false" customHeight="false" outlineLevel="0" collapsed="false">
      <c r="A16" s="11" t="s">
        <v>447</v>
      </c>
      <c r="B16" s="10" t="s">
        <v>202</v>
      </c>
      <c r="C16" s="11" t="str">
        <f aca="false">IFERROR(INDEX(Productos!$B:$B,MATCH($B16,Productos!$A:$A,0)),"")</f>
        <v>Aceite de girasol</v>
      </c>
      <c r="D16" s="11" t="s">
        <v>416</v>
      </c>
      <c r="E16" s="11" t="str">
        <f aca="false">IFERROR(INDEX(Tiendas!$B:$B,MATCH($D16,Tiendas!$A:$A,0)),"")</f>
        <v>Surtimax Bucaramanga</v>
      </c>
      <c r="F16" s="11" t="str">
        <f aca="false">IFERROR(INDEX(Tiendas!$E:$E,MATCH($D16,Tiendas!$A:$A,0)),"")</f>
        <v>Bucaramanga</v>
      </c>
      <c r="G16" s="19" t="n">
        <v>15800</v>
      </c>
      <c r="H16" s="16" t="n">
        <v>63</v>
      </c>
      <c r="I16" s="16" t="n">
        <v>27</v>
      </c>
      <c r="J16" s="11" t="str">
        <f aca="false">IF(H16&lt;I16,"Reabastecer","OK")</f>
        <v>OK</v>
      </c>
      <c r="K16" s="19" t="n">
        <f aca="false">G16*H16</f>
        <v>995400</v>
      </c>
    </row>
    <row r="17" customFormat="false" ht="15" hidden="false" customHeight="false" outlineLevel="0" collapsed="false">
      <c r="A17" s="11" t="s">
        <v>448</v>
      </c>
      <c r="B17" s="10" t="s">
        <v>213</v>
      </c>
      <c r="C17" s="11" t="str">
        <f aca="false">IFERROR(INDEX(Productos!$B:$B,MATCH($B17,Productos!$A:$A,0)),"")</f>
        <v>Fríjol cargamanto</v>
      </c>
      <c r="D17" s="11" t="s">
        <v>419</v>
      </c>
      <c r="E17" s="11" t="str">
        <f aca="false">IFERROR(INDEX(Tiendas!$B:$B,MATCH($D17,Tiendas!$A:$A,0)),"")</f>
        <v>Éxito Cartagena</v>
      </c>
      <c r="F17" s="11" t="str">
        <f aca="false">IFERROR(INDEX(Tiendas!$E:$E,MATCH($D17,Tiendas!$A:$A,0)),"")</f>
        <v>Cartagena</v>
      </c>
      <c r="G17" s="19" t="n">
        <v>9600</v>
      </c>
      <c r="H17" s="16" t="n">
        <v>117</v>
      </c>
      <c r="I17" s="16" t="n">
        <v>45</v>
      </c>
      <c r="J17" s="11" t="str">
        <f aca="false">IF(H17&lt;I17,"Reabastecer","OK")</f>
        <v>OK</v>
      </c>
      <c r="K17" s="19" t="n">
        <f aca="false">G17*H17</f>
        <v>1123200</v>
      </c>
    </row>
    <row r="18" customFormat="false" ht="15" hidden="false" customHeight="false" outlineLevel="0" collapsed="false">
      <c r="A18" s="11" t="s">
        <v>449</v>
      </c>
      <c r="B18" s="10" t="s">
        <v>124</v>
      </c>
      <c r="C18" s="11" t="str">
        <f aca="false">IFERROR(INDEX(Productos!$B:$B,MATCH($B18,Productos!$A:$A,0)),"")</f>
        <v>Yogurt entero</v>
      </c>
      <c r="D18" s="11" t="s">
        <v>381</v>
      </c>
      <c r="E18" s="11" t="str">
        <f aca="false">IFERROR(INDEX(Tiendas!$B:$B,MATCH($D18,Tiendas!$A:$A,0)),"")</f>
        <v>Éxito Medellín</v>
      </c>
      <c r="F18" s="11" t="str">
        <f aca="false">IFERROR(INDEX(Tiendas!$E:$E,MATCH($D18,Tiendas!$A:$A,0)),"")</f>
        <v>Medellín</v>
      </c>
      <c r="G18" s="19" t="n">
        <v>9100</v>
      </c>
      <c r="H18" s="16" t="n">
        <v>19</v>
      </c>
      <c r="I18" s="16" t="n">
        <v>41</v>
      </c>
      <c r="J18" s="11" t="str">
        <f aca="false">IF(H18&lt;I18,"Reabastecer","OK")</f>
        <v>Reabastecer</v>
      </c>
      <c r="K18" s="19" t="n">
        <f aca="false">G18*H18</f>
        <v>172900</v>
      </c>
    </row>
    <row r="19" customFormat="false" ht="15" hidden="false" customHeight="false" outlineLevel="0" collapsed="false">
      <c r="A19" s="11" t="s">
        <v>450</v>
      </c>
      <c r="B19" s="10" t="s">
        <v>186</v>
      </c>
      <c r="C19" s="11" t="str">
        <f aca="false">IFERROR(INDEX(Productos!$B:$B,MATCH($B19,Productos!$A:$A,0)),"")</f>
        <v>Café instantáneo clásico</v>
      </c>
      <c r="D19" s="11" t="s">
        <v>381</v>
      </c>
      <c r="E19" s="11" t="str">
        <f aca="false">IFERROR(INDEX(Tiendas!$B:$B,MATCH($D19,Tiendas!$A:$A,0)),"")</f>
        <v>Éxito Medellín</v>
      </c>
      <c r="F19" s="11" t="str">
        <f aca="false">IFERROR(INDEX(Tiendas!$E:$E,MATCH($D19,Tiendas!$A:$A,0)),"")</f>
        <v>Medellín</v>
      </c>
      <c r="G19" s="19" t="n">
        <v>15700</v>
      </c>
      <c r="H19" s="16" t="n">
        <v>378</v>
      </c>
      <c r="I19" s="16" t="n">
        <v>194</v>
      </c>
      <c r="J19" s="11" t="str">
        <f aca="false">IF(H19&lt;I19,"Reabastecer","OK")</f>
        <v>OK</v>
      </c>
      <c r="K19" s="19" t="n">
        <f aca="false">G19*H19</f>
        <v>5934600</v>
      </c>
    </row>
    <row r="20" customFormat="false" ht="15" hidden="false" customHeight="false" outlineLevel="0" collapsed="false">
      <c r="A20" s="11" t="s">
        <v>451</v>
      </c>
      <c r="B20" s="10" t="s">
        <v>83</v>
      </c>
      <c r="C20" s="11" t="str">
        <f aca="false">IFERROR(INDEX(Productos!$B:$B,MATCH($B20,Productos!$A:$A,0)),"")</f>
        <v>Uchuva con capacho</v>
      </c>
      <c r="D20" s="11" t="s">
        <v>386</v>
      </c>
      <c r="E20" s="11" t="str">
        <f aca="false">IFERROR(INDEX(Tiendas!$B:$B,MATCH($D20,Tiendas!$A:$A,0)),"")</f>
        <v>Jumbo Bogotá</v>
      </c>
      <c r="F20" s="11" t="str">
        <f aca="false">IFERROR(INDEX(Tiendas!$E:$E,MATCH($D20,Tiendas!$A:$A,0)),"")</f>
        <v>Bogotá D.C.</v>
      </c>
      <c r="G20" s="19" t="n">
        <v>7000</v>
      </c>
      <c r="H20" s="16" t="n">
        <v>393</v>
      </c>
      <c r="I20" s="16" t="n">
        <v>280</v>
      </c>
      <c r="J20" s="11" t="str">
        <f aca="false">IF(H20&lt;I20,"Reabastecer","OK")</f>
        <v>OK</v>
      </c>
      <c r="K20" s="19" t="n">
        <f aca="false">G20*H20</f>
        <v>2751000</v>
      </c>
    </row>
    <row r="21" customFormat="false" ht="15" hidden="false" customHeight="false" outlineLevel="0" collapsed="false">
      <c r="A21" s="11" t="s">
        <v>452</v>
      </c>
      <c r="B21" s="10" t="s">
        <v>98</v>
      </c>
      <c r="C21" s="11" t="str">
        <f aca="false">IFERROR(INDEX(Productos!$B:$B,MATCH($B21,Productos!$A:$A,0)),"")</f>
        <v>Mango Tommy</v>
      </c>
      <c r="D21" s="11" t="s">
        <v>408</v>
      </c>
      <c r="E21" s="11" t="str">
        <f aca="false">IFERROR(INDEX(Tiendas!$B:$B,MATCH($D21,Tiendas!$A:$A,0)),"")</f>
        <v>Makro Cali</v>
      </c>
      <c r="F21" s="11" t="str">
        <f aca="false">IFERROR(INDEX(Tiendas!$E:$E,MATCH($D21,Tiendas!$A:$A,0)),"")</f>
        <v>Cali</v>
      </c>
      <c r="G21" s="19" t="n">
        <v>6300</v>
      </c>
      <c r="H21" s="16" t="n">
        <v>188</v>
      </c>
      <c r="I21" s="16" t="n">
        <v>226</v>
      </c>
      <c r="J21" s="11" t="str">
        <f aca="false">IF(H21&lt;I21,"Reabastecer","OK")</f>
        <v>Reabastecer</v>
      </c>
      <c r="K21" s="19" t="n">
        <f aca="false">G21*H21</f>
        <v>1184400</v>
      </c>
    </row>
    <row r="22" customFormat="false" ht="15" hidden="false" customHeight="false" outlineLevel="0" collapsed="false">
      <c r="A22" s="11" t="s">
        <v>453</v>
      </c>
      <c r="B22" s="10" t="s">
        <v>265</v>
      </c>
      <c r="C22" s="11" t="str">
        <f aca="false">IFERROR(INDEX(Productos!$B:$B,MATCH($B22,Productos!$A:$A,0)),"")</f>
        <v>Bon Bon Bum surtido</v>
      </c>
      <c r="D22" s="11" t="s">
        <v>408</v>
      </c>
      <c r="E22" s="11" t="str">
        <f aca="false">IFERROR(INDEX(Tiendas!$B:$B,MATCH($D22,Tiendas!$A:$A,0)),"")</f>
        <v>Makro Cali</v>
      </c>
      <c r="F22" s="11" t="str">
        <f aca="false">IFERROR(INDEX(Tiendas!$E:$E,MATCH($D22,Tiendas!$A:$A,0)),"")</f>
        <v>Cali</v>
      </c>
      <c r="G22" s="19" t="n">
        <v>11900</v>
      </c>
      <c r="H22" s="16" t="n">
        <v>387</v>
      </c>
      <c r="I22" s="16" t="n">
        <v>140</v>
      </c>
      <c r="J22" s="11" t="str">
        <f aca="false">IF(H22&lt;I22,"Reabastecer","OK")</f>
        <v>OK</v>
      </c>
      <c r="K22" s="19" t="n">
        <f aca="false">G22*H22</f>
        <v>4605300</v>
      </c>
    </row>
    <row r="23" customFormat="false" ht="15" hidden="false" customHeight="false" outlineLevel="0" collapsed="false">
      <c r="A23" s="11" t="s">
        <v>454</v>
      </c>
      <c r="B23" s="10" t="s">
        <v>194</v>
      </c>
      <c r="C23" s="11" t="str">
        <f aca="false">IFERROR(INDEX(Productos!$B:$B,MATCH($B23,Productos!$A:$A,0)),"")</f>
        <v>Chocolate de mesa</v>
      </c>
      <c r="D23" s="11" t="s">
        <v>413</v>
      </c>
      <c r="E23" s="11" t="str">
        <f aca="false">IFERROR(INDEX(Tiendas!$B:$B,MATCH($D23,Tiendas!$A:$A,0)),"")</f>
        <v>Justo &amp; Bueno Bogotá</v>
      </c>
      <c r="F23" s="11" t="str">
        <f aca="false">IFERROR(INDEX(Tiendas!$E:$E,MATCH($D23,Tiendas!$A:$A,0)),"")</f>
        <v>Bogotá D.C.</v>
      </c>
      <c r="G23" s="19" t="n">
        <v>14800</v>
      </c>
      <c r="H23" s="16" t="n">
        <v>140</v>
      </c>
      <c r="I23" s="16" t="n">
        <v>75</v>
      </c>
      <c r="J23" s="11" t="str">
        <f aca="false">IF(H23&lt;I23,"Reabastecer","OK")</f>
        <v>OK</v>
      </c>
      <c r="K23" s="19" t="n">
        <f aca="false">G23*H23</f>
        <v>2072000</v>
      </c>
    </row>
    <row r="24" customFormat="false" ht="15" hidden="false" customHeight="false" outlineLevel="0" collapsed="false">
      <c r="A24" s="11" t="s">
        <v>455</v>
      </c>
      <c r="B24" s="10" t="s">
        <v>91</v>
      </c>
      <c r="C24" s="11" t="str">
        <f aca="false">IFERROR(INDEX(Productos!$B:$B,MATCH($B24,Productos!$A:$A,0)),"")</f>
        <v>Lulo</v>
      </c>
      <c r="D24" s="11" t="s">
        <v>408</v>
      </c>
      <c r="E24" s="11" t="str">
        <f aca="false">IFERROR(INDEX(Tiendas!$B:$B,MATCH($D24,Tiendas!$A:$A,0)),"")</f>
        <v>Makro Cali</v>
      </c>
      <c r="F24" s="11" t="str">
        <f aca="false">IFERROR(INDEX(Tiendas!$E:$E,MATCH($D24,Tiendas!$A:$A,0)),"")</f>
        <v>Cali</v>
      </c>
      <c r="G24" s="19" t="n">
        <v>6100</v>
      </c>
      <c r="H24" s="16" t="n">
        <v>271</v>
      </c>
      <c r="I24" s="16" t="n">
        <v>99</v>
      </c>
      <c r="J24" s="11" t="str">
        <f aca="false">IF(H24&lt;I24,"Reabastecer","OK")</f>
        <v>OK</v>
      </c>
      <c r="K24" s="19" t="n">
        <f aca="false">G24*H24</f>
        <v>1653100</v>
      </c>
    </row>
    <row r="25" customFormat="false" ht="15" hidden="false" customHeight="false" outlineLevel="0" collapsed="false">
      <c r="A25" s="11" t="s">
        <v>456</v>
      </c>
      <c r="B25" s="10" t="s">
        <v>137</v>
      </c>
      <c r="C25" s="11" t="str">
        <f aca="false">IFERROR(INDEX(Productos!$B:$B,MATCH($B25,Productos!$A:$A,0)),"")</f>
        <v>Salchichas tipo Viena</v>
      </c>
      <c r="D25" s="11" t="s">
        <v>416</v>
      </c>
      <c r="E25" s="11" t="str">
        <f aca="false">IFERROR(INDEX(Tiendas!$B:$B,MATCH($D25,Tiendas!$A:$A,0)),"")</f>
        <v>Surtimax Bucaramanga</v>
      </c>
      <c r="F25" s="11" t="str">
        <f aca="false">IFERROR(INDEX(Tiendas!$E:$E,MATCH($D25,Tiendas!$A:$A,0)),"")</f>
        <v>Bucaramanga</v>
      </c>
      <c r="G25" s="19" t="n">
        <v>13900</v>
      </c>
      <c r="H25" s="16" t="n">
        <v>127</v>
      </c>
      <c r="I25" s="16" t="n">
        <v>81</v>
      </c>
      <c r="J25" s="11" t="str">
        <f aca="false">IF(H25&lt;I25,"Reabastecer","OK")</f>
        <v>OK</v>
      </c>
      <c r="K25" s="19" t="n">
        <f aca="false">G25*H25</f>
        <v>1765300</v>
      </c>
    </row>
    <row r="26" customFormat="false" ht="15" hidden="false" customHeight="false" outlineLevel="0" collapsed="false">
      <c r="A26" s="11" t="s">
        <v>457</v>
      </c>
      <c r="B26" s="10" t="s">
        <v>91</v>
      </c>
      <c r="C26" s="11" t="str">
        <f aca="false">IFERROR(INDEX(Productos!$B:$B,MATCH($B26,Productos!$A:$A,0)),"")</f>
        <v>Lulo</v>
      </c>
      <c r="D26" s="11" t="s">
        <v>419</v>
      </c>
      <c r="E26" s="11" t="str">
        <f aca="false">IFERROR(INDEX(Tiendas!$B:$B,MATCH($D26,Tiendas!$A:$A,0)),"")</f>
        <v>Éxito Cartagena</v>
      </c>
      <c r="F26" s="11" t="str">
        <f aca="false">IFERROR(INDEX(Tiendas!$E:$E,MATCH($D26,Tiendas!$A:$A,0)),"")</f>
        <v>Cartagena</v>
      </c>
      <c r="G26" s="19" t="n">
        <v>6000</v>
      </c>
      <c r="H26" s="16" t="n">
        <v>13</v>
      </c>
      <c r="I26" s="16" t="n">
        <v>23</v>
      </c>
      <c r="J26" s="11" t="str">
        <f aca="false">IF(H26&lt;I26,"Reabastecer","OK")</f>
        <v>Reabastecer</v>
      </c>
      <c r="K26" s="19" t="n">
        <f aca="false">G26*H26</f>
        <v>78000</v>
      </c>
    </row>
    <row r="27" customFormat="false" ht="15" hidden="false" customHeight="false" outlineLevel="0" collapsed="false">
      <c r="A27" s="11" t="s">
        <v>458</v>
      </c>
      <c r="B27" s="10" t="s">
        <v>219</v>
      </c>
      <c r="C27" s="11" t="str">
        <f aca="false">IFERROR(INDEX(Productos!$B:$B,MATCH($B27,Productos!$A:$A,0)),"")</f>
        <v>Bocadillo veleño</v>
      </c>
      <c r="D27" s="11" t="s">
        <v>413</v>
      </c>
      <c r="E27" s="11" t="str">
        <f aca="false">IFERROR(INDEX(Tiendas!$B:$B,MATCH($D27,Tiendas!$A:$A,0)),"")</f>
        <v>Justo &amp; Bueno Bogotá</v>
      </c>
      <c r="F27" s="11" t="str">
        <f aca="false">IFERROR(INDEX(Tiendas!$E:$E,MATCH($D27,Tiendas!$A:$A,0)),"")</f>
        <v>Bogotá D.C.</v>
      </c>
      <c r="G27" s="19" t="n">
        <v>9000</v>
      </c>
      <c r="H27" s="16" t="n">
        <v>48</v>
      </c>
      <c r="I27" s="16" t="n">
        <v>21</v>
      </c>
      <c r="J27" s="11" t="str">
        <f aca="false">IF(H27&lt;I27,"Reabastecer","OK")</f>
        <v>OK</v>
      </c>
      <c r="K27" s="19" t="n">
        <f aca="false">G27*H27</f>
        <v>432000</v>
      </c>
    </row>
    <row r="28" customFormat="false" ht="15" hidden="false" customHeight="false" outlineLevel="0" collapsed="false">
      <c r="A28" s="11" t="s">
        <v>459</v>
      </c>
      <c r="B28" s="10" t="s">
        <v>83</v>
      </c>
      <c r="C28" s="11" t="str">
        <f aca="false">IFERROR(INDEX(Productos!$B:$B,MATCH($B28,Productos!$A:$A,0)),"")</f>
        <v>Uchuva con capacho</v>
      </c>
      <c r="D28" s="11" t="s">
        <v>390</v>
      </c>
      <c r="E28" s="11" t="str">
        <f aca="false">IFERROR(INDEX(Tiendas!$B:$B,MATCH($D28,Tiendas!$A:$A,0)),"")</f>
        <v>Carulla Bogotá</v>
      </c>
      <c r="F28" s="11" t="str">
        <f aca="false">IFERROR(INDEX(Tiendas!$E:$E,MATCH($D28,Tiendas!$A:$A,0)),"")</f>
        <v>Bogotá D.C.</v>
      </c>
      <c r="G28" s="19" t="n">
        <v>8300</v>
      </c>
      <c r="H28" s="16" t="n">
        <v>100</v>
      </c>
      <c r="I28" s="16" t="n">
        <v>55</v>
      </c>
      <c r="J28" s="11" t="str">
        <f aca="false">IF(H28&lt;I28,"Reabastecer","OK")</f>
        <v>OK</v>
      </c>
      <c r="K28" s="19" t="n">
        <f aca="false">G28*H28</f>
        <v>830000</v>
      </c>
    </row>
    <row r="29" customFormat="false" ht="15" hidden="false" customHeight="false" outlineLevel="0" collapsed="false">
      <c r="A29" s="11" t="s">
        <v>460</v>
      </c>
      <c r="B29" s="10" t="s">
        <v>228</v>
      </c>
      <c r="C29" s="11" t="str">
        <f aca="false">IFERROR(INDEX(Productos!$B:$B,MATCH($B29,Productos!$A:$A,0)),"")</f>
        <v>Arequipe</v>
      </c>
      <c r="D29" s="11" t="s">
        <v>405</v>
      </c>
      <c r="E29" s="11" t="str">
        <f aca="false">IFERROR(INDEX(Tiendas!$B:$B,MATCH($D29,Tiendas!$A:$A,0)),"")</f>
        <v>Ara Medellín</v>
      </c>
      <c r="F29" s="11" t="str">
        <f aca="false">IFERROR(INDEX(Tiendas!$E:$E,MATCH($D29,Tiendas!$A:$A,0)),"")</f>
        <v>Medellín</v>
      </c>
      <c r="G29" s="19" t="n">
        <v>8200</v>
      </c>
      <c r="H29" s="16" t="n">
        <v>29</v>
      </c>
      <c r="I29" s="16" t="n">
        <v>22</v>
      </c>
      <c r="J29" s="11" t="str">
        <f aca="false">IF(H29&lt;I29,"Reabastecer","OK")</f>
        <v>OK</v>
      </c>
      <c r="K29" s="19" t="n">
        <f aca="false">G29*H29</f>
        <v>237800</v>
      </c>
    </row>
    <row r="30" customFormat="false" ht="15" hidden="false" customHeight="false" outlineLevel="0" collapsed="false">
      <c r="A30" s="11" t="s">
        <v>461</v>
      </c>
      <c r="B30" s="10" t="s">
        <v>283</v>
      </c>
      <c r="C30" s="11" t="str">
        <f aca="false">IFERROR(INDEX(Productos!$B:$B,MATCH($B30,Productos!$A:$A,0)),"")</f>
        <v>Papas fritas sabor pollo</v>
      </c>
      <c r="D30" s="11" t="s">
        <v>405</v>
      </c>
      <c r="E30" s="11" t="str">
        <f aca="false">IFERROR(INDEX(Tiendas!$B:$B,MATCH($D30,Tiendas!$A:$A,0)),"")</f>
        <v>Ara Medellín</v>
      </c>
      <c r="F30" s="11" t="str">
        <f aca="false">IFERROR(INDEX(Tiendas!$E:$E,MATCH($D30,Tiendas!$A:$A,0)),"")</f>
        <v>Medellín</v>
      </c>
      <c r="G30" s="19" t="n">
        <v>4800</v>
      </c>
      <c r="H30" s="16" t="n">
        <v>143</v>
      </c>
      <c r="I30" s="16" t="n">
        <v>105</v>
      </c>
      <c r="J30" s="11" t="str">
        <f aca="false">IF(H30&lt;I30,"Reabastecer","OK")</f>
        <v>OK</v>
      </c>
      <c r="K30" s="19" t="n">
        <f aca="false">G30*H30</f>
        <v>686400</v>
      </c>
    </row>
    <row r="31" customFormat="false" ht="15" hidden="false" customHeight="false" outlineLevel="0" collapsed="false">
      <c r="A31" s="11" t="s">
        <v>462</v>
      </c>
      <c r="B31" s="10" t="s">
        <v>176</v>
      </c>
      <c r="C31" s="11" t="str">
        <f aca="false">IFERROR(INDEX(Productos!$B:$B,MATCH($B31,Productos!$A:$A,0)),"")</f>
        <v>Café tostado y molido</v>
      </c>
      <c r="D31" s="11" t="s">
        <v>419</v>
      </c>
      <c r="E31" s="11" t="str">
        <f aca="false">IFERROR(INDEX(Tiendas!$B:$B,MATCH($D31,Tiendas!$A:$A,0)),"")</f>
        <v>Éxito Cartagena</v>
      </c>
      <c r="F31" s="11" t="str">
        <f aca="false">IFERROR(INDEX(Tiendas!$E:$E,MATCH($D31,Tiendas!$A:$A,0)),"")</f>
        <v>Cartagena</v>
      </c>
      <c r="G31" s="19" t="n">
        <v>29400</v>
      </c>
      <c r="H31" s="16" t="n">
        <v>113</v>
      </c>
      <c r="I31" s="16" t="n">
        <v>72</v>
      </c>
      <c r="J31" s="11" t="str">
        <f aca="false">IF(H31&lt;I31,"Reabastecer","OK")</f>
        <v>OK</v>
      </c>
      <c r="K31" s="19" t="n">
        <f aca="false">G31*H31</f>
        <v>3322200</v>
      </c>
    </row>
    <row r="32" customFormat="false" ht="15" hidden="false" customHeight="false" outlineLevel="0" collapsed="false">
      <c r="A32" s="11" t="s">
        <v>463</v>
      </c>
      <c r="B32" s="10" t="s">
        <v>113</v>
      </c>
      <c r="C32" s="11" t="str">
        <f aca="false">IFERROR(INDEX(Productos!$B:$B,MATCH($B32,Productos!$A:$A,0)),"")</f>
        <v>Leche entera pasteurizada</v>
      </c>
      <c r="D32" s="11" t="s">
        <v>419</v>
      </c>
      <c r="E32" s="11" t="str">
        <f aca="false">IFERROR(INDEX(Tiendas!$B:$B,MATCH($D32,Tiendas!$A:$A,0)),"")</f>
        <v>Éxito Cartagena</v>
      </c>
      <c r="F32" s="11" t="str">
        <f aca="false">IFERROR(INDEX(Tiendas!$E:$E,MATCH($D32,Tiendas!$A:$A,0)),"")</f>
        <v>Cartagena</v>
      </c>
      <c r="G32" s="19" t="n">
        <v>4700</v>
      </c>
      <c r="H32" s="16" t="n">
        <v>29</v>
      </c>
      <c r="I32" s="16" t="n">
        <v>42</v>
      </c>
      <c r="J32" s="11" t="str">
        <f aca="false">IF(H32&lt;I32,"Reabastecer","OK")</f>
        <v>Reabastecer</v>
      </c>
      <c r="K32" s="19" t="n">
        <f aca="false">G32*H32</f>
        <v>136300</v>
      </c>
    </row>
    <row r="33" customFormat="false" ht="15" hidden="false" customHeight="false" outlineLevel="0" collapsed="false">
      <c r="A33" s="11" t="s">
        <v>464</v>
      </c>
      <c r="B33" s="10" t="s">
        <v>275</v>
      </c>
      <c r="C33" s="11" t="str">
        <f aca="false">IFERROR(INDEX(Productos!$B:$B,MATCH($B33,Productos!$A:$A,0)),"")</f>
        <v>Chocolatina Jet</v>
      </c>
      <c r="D33" s="11" t="s">
        <v>419</v>
      </c>
      <c r="E33" s="11" t="str">
        <f aca="false">IFERROR(INDEX(Tiendas!$B:$B,MATCH($D33,Tiendas!$A:$A,0)),"")</f>
        <v>Éxito Cartagena</v>
      </c>
      <c r="F33" s="11" t="str">
        <f aca="false">IFERROR(INDEX(Tiendas!$E:$E,MATCH($D33,Tiendas!$A:$A,0)),"")</f>
        <v>Cartagena</v>
      </c>
      <c r="G33" s="19" t="n">
        <v>13800</v>
      </c>
      <c r="H33" s="16" t="n">
        <v>109</v>
      </c>
      <c r="I33" s="16" t="n">
        <v>43</v>
      </c>
      <c r="J33" s="11" t="str">
        <f aca="false">IF(H33&lt;I33,"Reabastecer","OK")</f>
        <v>OK</v>
      </c>
      <c r="K33" s="19" t="n">
        <f aca="false">G33*H33</f>
        <v>1504200</v>
      </c>
    </row>
    <row r="34" customFormat="false" ht="15" hidden="false" customHeight="false" outlineLevel="0" collapsed="false">
      <c r="A34" s="11" t="s">
        <v>465</v>
      </c>
      <c r="B34" s="10" t="s">
        <v>98</v>
      </c>
      <c r="C34" s="11" t="str">
        <f aca="false">IFERROR(INDEX(Productos!$B:$B,MATCH($B34,Productos!$A:$A,0)),"")</f>
        <v>Mango Tommy</v>
      </c>
      <c r="D34" s="11" t="s">
        <v>400</v>
      </c>
      <c r="E34" s="11" t="str">
        <f aca="false">IFERROR(INDEX(Tiendas!$B:$B,MATCH($D34,Tiendas!$A:$A,0)),"")</f>
        <v>D1 Cali</v>
      </c>
      <c r="F34" s="11" t="str">
        <f aca="false">IFERROR(INDEX(Tiendas!$E:$E,MATCH($D34,Tiendas!$A:$A,0)),"")</f>
        <v>Cali</v>
      </c>
      <c r="G34" s="19" t="n">
        <v>6700</v>
      </c>
      <c r="H34" s="16" t="n">
        <v>108</v>
      </c>
      <c r="I34" s="16" t="n">
        <v>42</v>
      </c>
      <c r="J34" s="11" t="str">
        <f aca="false">IF(H34&lt;I34,"Reabastecer","OK")</f>
        <v>OK</v>
      </c>
      <c r="K34" s="19" t="n">
        <f aca="false">G34*H34</f>
        <v>723600</v>
      </c>
    </row>
    <row r="35" customFormat="false" ht="15" hidden="false" customHeight="false" outlineLevel="0" collapsed="false">
      <c r="A35" s="11" t="s">
        <v>466</v>
      </c>
      <c r="B35" s="10" t="s">
        <v>104</v>
      </c>
      <c r="C35" s="11" t="str">
        <f aca="false">IFERROR(INDEX(Productos!$B:$B,MATCH($B35,Productos!$A:$A,0)),"")</f>
        <v>Cebolla cabezona blanca</v>
      </c>
      <c r="D35" s="11" t="s">
        <v>394</v>
      </c>
      <c r="E35" s="11" t="str">
        <f aca="false">IFERROR(INDEX(Tiendas!$B:$B,MATCH($D35,Tiendas!$A:$A,0)),"")</f>
        <v>Olímpica Barranquilla</v>
      </c>
      <c r="F35" s="11" t="str">
        <f aca="false">IFERROR(INDEX(Tiendas!$E:$E,MATCH($D35,Tiendas!$A:$A,0)),"")</f>
        <v>Barranquilla</v>
      </c>
      <c r="G35" s="19" t="n">
        <v>3400</v>
      </c>
      <c r="H35" s="16" t="n">
        <v>90</v>
      </c>
      <c r="I35" s="16" t="n">
        <v>50</v>
      </c>
      <c r="J35" s="11" t="str">
        <f aca="false">IF(H35&lt;I35,"Reabastecer","OK")</f>
        <v>OK</v>
      </c>
      <c r="K35" s="19" t="n">
        <f aca="false">G35*H35</f>
        <v>306000</v>
      </c>
    </row>
    <row r="36" customFormat="false" ht="15" hidden="false" customHeight="false" outlineLevel="0" collapsed="false">
      <c r="A36" s="11" t="s">
        <v>467</v>
      </c>
      <c r="B36" s="10" t="s">
        <v>113</v>
      </c>
      <c r="C36" s="11" t="str">
        <f aca="false">IFERROR(INDEX(Productos!$B:$B,MATCH($B36,Productos!$A:$A,0)),"")</f>
        <v>Leche entera pasteurizada</v>
      </c>
      <c r="D36" s="11" t="s">
        <v>390</v>
      </c>
      <c r="E36" s="11" t="str">
        <f aca="false">IFERROR(INDEX(Tiendas!$B:$B,MATCH($D36,Tiendas!$A:$A,0)),"")</f>
        <v>Carulla Bogotá</v>
      </c>
      <c r="F36" s="11" t="str">
        <f aca="false">IFERROR(INDEX(Tiendas!$E:$E,MATCH($D36,Tiendas!$A:$A,0)),"")</f>
        <v>Bogotá D.C.</v>
      </c>
      <c r="G36" s="19" t="n">
        <v>5000</v>
      </c>
      <c r="H36" s="16" t="n">
        <v>134</v>
      </c>
      <c r="I36" s="16" t="n">
        <v>51</v>
      </c>
      <c r="J36" s="11" t="str">
        <f aca="false">IF(H36&lt;I36,"Reabastecer","OK")</f>
        <v>OK</v>
      </c>
      <c r="K36" s="19" t="n">
        <f aca="false">G36*H36</f>
        <v>670000</v>
      </c>
    </row>
    <row r="37" customFormat="false" ht="15" hidden="false" customHeight="false" outlineLevel="0" collapsed="false">
      <c r="A37" s="11" t="s">
        <v>468</v>
      </c>
      <c r="B37" s="10" t="s">
        <v>137</v>
      </c>
      <c r="C37" s="11" t="str">
        <f aca="false">IFERROR(INDEX(Productos!$B:$B,MATCH($B37,Productos!$A:$A,0)),"")</f>
        <v>Salchichas tipo Viena</v>
      </c>
      <c r="D37" s="11" t="s">
        <v>400</v>
      </c>
      <c r="E37" s="11" t="str">
        <f aca="false">IFERROR(INDEX(Tiendas!$B:$B,MATCH($D37,Tiendas!$A:$A,0)),"")</f>
        <v>D1 Cali</v>
      </c>
      <c r="F37" s="11" t="str">
        <f aca="false">IFERROR(INDEX(Tiendas!$E:$E,MATCH($D37,Tiendas!$A:$A,0)),"")</f>
        <v>Cali</v>
      </c>
      <c r="G37" s="19" t="n">
        <v>12700</v>
      </c>
      <c r="H37" s="16" t="n">
        <v>24</v>
      </c>
      <c r="I37" s="16" t="n">
        <v>55</v>
      </c>
      <c r="J37" s="11" t="str">
        <f aca="false">IF(H37&lt;I37,"Reabastecer","OK")</f>
        <v>Reabastecer</v>
      </c>
      <c r="K37" s="19" t="n">
        <f aca="false">G37*H37</f>
        <v>304800</v>
      </c>
    </row>
    <row r="38" customFormat="false" ht="15" hidden="false" customHeight="false" outlineLevel="0" collapsed="false">
      <c r="A38" s="11" t="s">
        <v>469</v>
      </c>
      <c r="B38" s="10" t="s">
        <v>213</v>
      </c>
      <c r="C38" s="11" t="str">
        <f aca="false">IFERROR(INDEX(Productos!$B:$B,MATCH($B38,Productos!$A:$A,0)),"")</f>
        <v>Fríjol cargamanto</v>
      </c>
      <c r="D38" s="11" t="s">
        <v>381</v>
      </c>
      <c r="E38" s="11" t="str">
        <f aca="false">IFERROR(INDEX(Tiendas!$B:$B,MATCH($D38,Tiendas!$A:$A,0)),"")</f>
        <v>Éxito Medellín</v>
      </c>
      <c r="F38" s="11" t="str">
        <f aca="false">IFERROR(INDEX(Tiendas!$E:$E,MATCH($D38,Tiendas!$A:$A,0)),"")</f>
        <v>Medellín</v>
      </c>
      <c r="G38" s="19" t="n">
        <v>10000</v>
      </c>
      <c r="H38" s="16" t="n">
        <v>379</v>
      </c>
      <c r="I38" s="16" t="n">
        <v>194</v>
      </c>
      <c r="J38" s="11" t="str">
        <f aca="false">IF(H38&lt;I38,"Reabastecer","OK")</f>
        <v>OK</v>
      </c>
      <c r="K38" s="19" t="n">
        <f aca="false">G38*H38</f>
        <v>3790000</v>
      </c>
    </row>
    <row r="39" customFormat="false" ht="15" hidden="false" customHeight="false" outlineLevel="0" collapsed="false">
      <c r="A39" s="11" t="s">
        <v>470</v>
      </c>
      <c r="B39" s="10" t="s">
        <v>104</v>
      </c>
      <c r="C39" s="11" t="str">
        <f aca="false">IFERROR(INDEX(Productos!$B:$B,MATCH($B39,Productos!$A:$A,0)),"")</f>
        <v>Cebolla cabezona blanca</v>
      </c>
      <c r="D39" s="11" t="s">
        <v>423</v>
      </c>
      <c r="E39" s="11" t="str">
        <f aca="false">IFERROR(INDEX(Tiendas!$B:$B,MATCH($D39,Tiendas!$A:$A,0)),"")</f>
        <v>Tienda de barrio Bogotá</v>
      </c>
      <c r="F39" s="11" t="str">
        <f aca="false">IFERROR(INDEX(Tiendas!$E:$E,MATCH($D39,Tiendas!$A:$A,0)),"")</f>
        <v>Bogotá D.C.</v>
      </c>
      <c r="G39" s="19" t="n">
        <v>3300</v>
      </c>
      <c r="H39" s="16" t="n">
        <v>25</v>
      </c>
      <c r="I39" s="16" t="n">
        <v>20</v>
      </c>
      <c r="J39" s="11" t="str">
        <f aca="false">IF(H39&lt;I39,"Reabastecer","OK")</f>
        <v>OK</v>
      </c>
      <c r="K39" s="19" t="n">
        <f aca="false">G39*H39</f>
        <v>82500</v>
      </c>
    </row>
    <row r="40" customFormat="false" ht="15" hidden="false" customHeight="false" outlineLevel="0" collapsed="false">
      <c r="A40" s="11" t="s">
        <v>471</v>
      </c>
      <c r="B40" s="10" t="s">
        <v>292</v>
      </c>
      <c r="C40" s="11" t="str">
        <f aca="false">IFERROR(INDEX(Productos!$B:$B,MATCH($B40,Productos!$A:$A,0)),"")</f>
        <v>Galletas Saltín</v>
      </c>
      <c r="D40" s="11" t="s">
        <v>390</v>
      </c>
      <c r="E40" s="11" t="str">
        <f aca="false">IFERROR(INDEX(Tiendas!$B:$B,MATCH($D40,Tiendas!$A:$A,0)),"")</f>
        <v>Carulla Bogotá</v>
      </c>
      <c r="F40" s="11" t="str">
        <f aca="false">IFERROR(INDEX(Tiendas!$E:$E,MATCH($D40,Tiendas!$A:$A,0)),"")</f>
        <v>Bogotá D.C.</v>
      </c>
      <c r="G40" s="19" t="n">
        <v>6900</v>
      </c>
      <c r="H40" s="16" t="n">
        <v>47</v>
      </c>
      <c r="I40" s="16" t="n">
        <v>28</v>
      </c>
      <c r="J40" s="11" t="str">
        <f aca="false">IF(H40&lt;I40,"Reabastecer","OK")</f>
        <v>OK</v>
      </c>
      <c r="K40" s="19" t="n">
        <f aca="false">G40*H40</f>
        <v>324300</v>
      </c>
    </row>
    <row r="41" customFormat="false" ht="15" hidden="false" customHeight="false" outlineLevel="0" collapsed="false">
      <c r="A41" s="11" t="s">
        <v>472</v>
      </c>
      <c r="B41" s="10" t="s">
        <v>275</v>
      </c>
      <c r="C41" s="11" t="str">
        <f aca="false">IFERROR(INDEX(Productos!$B:$B,MATCH($B41,Productos!$A:$A,0)),"")</f>
        <v>Chocolatina Jet</v>
      </c>
      <c r="D41" s="11" t="s">
        <v>394</v>
      </c>
      <c r="E41" s="11" t="str">
        <f aca="false">IFERROR(INDEX(Tiendas!$B:$B,MATCH($D41,Tiendas!$A:$A,0)),"")</f>
        <v>Olímpica Barranquilla</v>
      </c>
      <c r="F41" s="11" t="str">
        <f aca="false">IFERROR(INDEX(Tiendas!$E:$E,MATCH($D41,Tiendas!$A:$A,0)),"")</f>
        <v>Barranquilla</v>
      </c>
      <c r="G41" s="19" t="n">
        <v>14600</v>
      </c>
      <c r="H41" s="16" t="n">
        <v>22</v>
      </c>
      <c r="I41" s="16" t="n">
        <v>29</v>
      </c>
      <c r="J41" s="11" t="str">
        <f aca="false">IF(H41&lt;I41,"Reabastecer","OK")</f>
        <v>Reabastecer</v>
      </c>
      <c r="K41" s="19" t="n">
        <f aca="false">G41*H41</f>
        <v>321200</v>
      </c>
    </row>
    <row r="42" customFormat="false" ht="15" hidden="false" customHeight="false" outlineLevel="0" collapsed="false">
      <c r="A42" s="11" t="s">
        <v>473</v>
      </c>
      <c r="B42" s="10" t="s">
        <v>48</v>
      </c>
      <c r="C42" s="11" t="str">
        <f aca="false">IFERROR(INDEX(Productos!$B:$B,MATCH($B42,Productos!$A:$A,0)),"")</f>
        <v>Banano premium</v>
      </c>
      <c r="D42" s="11" t="s">
        <v>381</v>
      </c>
      <c r="E42" s="11" t="str">
        <f aca="false">IFERROR(INDEX(Tiendas!$B:$B,MATCH($D42,Tiendas!$A:$A,0)),"")</f>
        <v>Éxito Medellín</v>
      </c>
      <c r="F42" s="11" t="str">
        <f aca="false">IFERROR(INDEX(Tiendas!$E:$E,MATCH($D42,Tiendas!$A:$A,0)),"")</f>
        <v>Medellín</v>
      </c>
      <c r="G42" s="19" t="n">
        <v>3700</v>
      </c>
      <c r="H42" s="16" t="n">
        <v>75</v>
      </c>
      <c r="I42" s="16" t="n">
        <v>110</v>
      </c>
      <c r="J42" s="11" t="str">
        <f aca="false">IF(H42&lt;I42,"Reabastecer","OK")</f>
        <v>Reabastecer</v>
      </c>
      <c r="K42" s="19" t="n">
        <f aca="false">G42*H42</f>
        <v>277500</v>
      </c>
    </row>
    <row r="43" customFormat="false" ht="15" hidden="false" customHeight="false" outlineLevel="0" collapsed="false">
      <c r="A43" s="11" t="s">
        <v>474</v>
      </c>
      <c r="B43" s="10" t="s">
        <v>244</v>
      </c>
      <c r="C43" s="11" t="str">
        <f aca="false">IFERROR(INDEX(Productos!$B:$B,MATCH($B43,Productos!$A:$A,0)),"")</f>
        <v>Gaseosa Colombiana</v>
      </c>
      <c r="D43" s="11" t="s">
        <v>400</v>
      </c>
      <c r="E43" s="11" t="str">
        <f aca="false">IFERROR(INDEX(Tiendas!$B:$B,MATCH($D43,Tiendas!$A:$A,0)),"")</f>
        <v>D1 Cali</v>
      </c>
      <c r="F43" s="11" t="str">
        <f aca="false">IFERROR(INDEX(Tiendas!$E:$E,MATCH($D43,Tiendas!$A:$A,0)),"")</f>
        <v>Cali</v>
      </c>
      <c r="G43" s="19" t="n">
        <v>5100</v>
      </c>
      <c r="H43" s="16" t="n">
        <v>39</v>
      </c>
      <c r="I43" s="16" t="n">
        <v>56</v>
      </c>
      <c r="J43" s="11" t="str">
        <f aca="false">IF(H43&lt;I43,"Reabastecer","OK")</f>
        <v>Reabastecer</v>
      </c>
      <c r="K43" s="19" t="n">
        <f aca="false">G43*H43</f>
        <v>198900</v>
      </c>
    </row>
    <row r="44" customFormat="false" ht="15" hidden="false" customHeight="false" outlineLevel="0" collapsed="false">
      <c r="A44" s="11" t="s">
        <v>475</v>
      </c>
      <c r="B44" s="10" t="s">
        <v>149</v>
      </c>
      <c r="C44" s="11" t="str">
        <f aca="false">IFERROR(INDEX(Productos!$B:$B,MATCH($B44,Productos!$A:$A,0)),"")</f>
        <v>Pulpa de mora congelada</v>
      </c>
      <c r="D44" s="11" t="s">
        <v>394</v>
      </c>
      <c r="E44" s="11" t="str">
        <f aca="false">IFERROR(INDEX(Tiendas!$B:$B,MATCH($D44,Tiendas!$A:$A,0)),"")</f>
        <v>Olímpica Barranquilla</v>
      </c>
      <c r="F44" s="11" t="str">
        <f aca="false">IFERROR(INDEX(Tiendas!$E:$E,MATCH($D44,Tiendas!$A:$A,0)),"")</f>
        <v>Barranquilla</v>
      </c>
      <c r="G44" s="19" t="n">
        <v>10300</v>
      </c>
      <c r="H44" s="16" t="n">
        <v>106</v>
      </c>
      <c r="I44" s="16" t="n">
        <v>79</v>
      </c>
      <c r="J44" s="11" t="str">
        <f aca="false">IF(H44&lt;I44,"Reabastecer","OK")</f>
        <v>OK</v>
      </c>
      <c r="K44" s="19" t="n">
        <f aca="false">G44*H44</f>
        <v>1091800</v>
      </c>
    </row>
    <row r="45" customFormat="false" ht="15" hidden="false" customHeight="false" outlineLevel="0" collapsed="false">
      <c r="A45" s="11" t="s">
        <v>476</v>
      </c>
      <c r="B45" s="10" t="s">
        <v>244</v>
      </c>
      <c r="C45" s="11" t="str">
        <f aca="false">IFERROR(INDEX(Productos!$B:$B,MATCH($B45,Productos!$A:$A,0)),"")</f>
        <v>Gaseosa Colombiana</v>
      </c>
      <c r="D45" s="11" t="s">
        <v>419</v>
      </c>
      <c r="E45" s="11" t="str">
        <f aca="false">IFERROR(INDEX(Tiendas!$B:$B,MATCH($D45,Tiendas!$A:$A,0)),"")</f>
        <v>Éxito Cartagena</v>
      </c>
      <c r="F45" s="11" t="str">
        <f aca="false">IFERROR(INDEX(Tiendas!$E:$E,MATCH($D45,Tiendas!$A:$A,0)),"")</f>
        <v>Cartagena</v>
      </c>
      <c r="G45" s="19" t="n">
        <v>4800</v>
      </c>
      <c r="H45" s="16" t="n">
        <v>63</v>
      </c>
      <c r="I45" s="16" t="n">
        <v>49</v>
      </c>
      <c r="J45" s="11" t="str">
        <f aca="false">IF(H45&lt;I45,"Reabastecer","OK")</f>
        <v>OK</v>
      </c>
      <c r="K45" s="19" t="n">
        <f aca="false">G45*H45</f>
        <v>302400</v>
      </c>
    </row>
    <row r="46" customFormat="false" ht="15" hidden="false" customHeight="false" outlineLevel="0" collapsed="false">
      <c r="A46" s="11" t="s">
        <v>477</v>
      </c>
      <c r="B46" s="10" t="s">
        <v>265</v>
      </c>
      <c r="C46" s="11" t="str">
        <f aca="false">IFERROR(INDEX(Productos!$B:$B,MATCH($B46,Productos!$A:$A,0)),"")</f>
        <v>Bon Bon Bum surtido</v>
      </c>
      <c r="D46" s="11" t="s">
        <v>394</v>
      </c>
      <c r="E46" s="11" t="str">
        <f aca="false">IFERROR(INDEX(Tiendas!$B:$B,MATCH($D46,Tiendas!$A:$A,0)),"")</f>
        <v>Olímpica Barranquilla</v>
      </c>
      <c r="F46" s="11" t="str">
        <f aca="false">IFERROR(INDEX(Tiendas!$E:$E,MATCH($D46,Tiendas!$A:$A,0)),"")</f>
        <v>Barranquilla</v>
      </c>
      <c r="G46" s="19" t="n">
        <v>11200</v>
      </c>
      <c r="H46" s="16" t="n">
        <v>31</v>
      </c>
      <c r="I46" s="16" t="n">
        <v>63</v>
      </c>
      <c r="J46" s="11" t="str">
        <f aca="false">IF(H46&lt;I46,"Reabastecer","OK")</f>
        <v>Reabastecer</v>
      </c>
      <c r="K46" s="19" t="n">
        <f aca="false">G46*H46</f>
        <v>347200</v>
      </c>
    </row>
    <row r="47" customFormat="false" ht="15" hidden="false" customHeight="false" outlineLevel="0" collapsed="false">
      <c r="A47" s="11" t="s">
        <v>478</v>
      </c>
      <c r="B47" s="10" t="s">
        <v>168</v>
      </c>
      <c r="C47" s="11" t="str">
        <f aca="false">IFERROR(INDEX(Productos!$B:$B,MATCH($B47,Productos!$A:$A,0)),"")</f>
        <v>Panela cuadrada</v>
      </c>
      <c r="D47" s="11" t="s">
        <v>419</v>
      </c>
      <c r="E47" s="11" t="str">
        <f aca="false">IFERROR(INDEX(Tiendas!$B:$B,MATCH($D47,Tiendas!$A:$A,0)),"")</f>
        <v>Éxito Cartagena</v>
      </c>
      <c r="F47" s="11" t="str">
        <f aca="false">IFERROR(INDEX(Tiendas!$E:$E,MATCH($D47,Tiendas!$A:$A,0)),"")</f>
        <v>Cartagena</v>
      </c>
      <c r="G47" s="19" t="n">
        <v>5700</v>
      </c>
      <c r="H47" s="16" t="n">
        <v>29</v>
      </c>
      <c r="I47" s="16" t="n">
        <v>43</v>
      </c>
      <c r="J47" s="11" t="str">
        <f aca="false">IF(H47&lt;I47,"Reabastecer","OK")</f>
        <v>Reabastecer</v>
      </c>
      <c r="K47" s="19" t="n">
        <f aca="false">G47*H47</f>
        <v>165300</v>
      </c>
    </row>
    <row r="48" customFormat="false" ht="15" hidden="false" customHeight="false" outlineLevel="0" collapsed="false">
      <c r="A48" s="11" t="s">
        <v>479</v>
      </c>
      <c r="B48" s="10" t="s">
        <v>235</v>
      </c>
      <c r="C48" s="11" t="str">
        <f aca="false">IFERROR(INDEX(Productos!$B:$B,MATCH($B48,Productos!$A:$A,0)),"")</f>
        <v>Huevos AA</v>
      </c>
      <c r="D48" s="11" t="s">
        <v>405</v>
      </c>
      <c r="E48" s="11" t="str">
        <f aca="false">IFERROR(INDEX(Tiendas!$B:$B,MATCH($D48,Tiendas!$A:$A,0)),"")</f>
        <v>Ara Medellín</v>
      </c>
      <c r="F48" s="11" t="str">
        <f aca="false">IFERROR(INDEX(Tiendas!$E:$E,MATCH($D48,Tiendas!$A:$A,0)),"")</f>
        <v>Medellín</v>
      </c>
      <c r="G48" s="19" t="n">
        <v>20900</v>
      </c>
      <c r="H48" s="16" t="n">
        <v>8</v>
      </c>
      <c r="I48" s="16" t="n">
        <v>19</v>
      </c>
      <c r="J48" s="11" t="str">
        <f aca="false">IF(H48&lt;I48,"Reabastecer","OK")</f>
        <v>Reabastecer</v>
      </c>
      <c r="K48" s="19" t="n">
        <f aca="false">G48*H48</f>
        <v>167200</v>
      </c>
    </row>
    <row r="49" customFormat="false" ht="15" hidden="false" customHeight="false" outlineLevel="0" collapsed="false">
      <c r="A49" s="11" t="s">
        <v>480</v>
      </c>
      <c r="B49" s="10" t="s">
        <v>130</v>
      </c>
      <c r="C49" s="11" t="str">
        <f aca="false">IFERROR(INDEX(Productos!$B:$B,MATCH($B49,Productos!$A:$A,0)),"")</f>
        <v>Queso campesino</v>
      </c>
      <c r="D49" s="11" t="s">
        <v>390</v>
      </c>
      <c r="E49" s="11" t="str">
        <f aca="false">IFERROR(INDEX(Tiendas!$B:$B,MATCH($D49,Tiendas!$A:$A,0)),"")</f>
        <v>Carulla Bogotá</v>
      </c>
      <c r="F49" s="11" t="str">
        <f aca="false">IFERROR(INDEX(Tiendas!$E:$E,MATCH($D49,Tiendas!$A:$A,0)),"")</f>
        <v>Bogotá D.C.</v>
      </c>
      <c r="G49" s="19" t="n">
        <v>16900</v>
      </c>
      <c r="H49" s="16" t="n">
        <v>96</v>
      </c>
      <c r="I49" s="16" t="n">
        <v>62</v>
      </c>
      <c r="J49" s="11" t="str">
        <f aca="false">IF(H49&lt;I49,"Reabastecer","OK")</f>
        <v>OK</v>
      </c>
      <c r="K49" s="19" t="n">
        <f aca="false">G49*H49</f>
        <v>1622400</v>
      </c>
    </row>
    <row r="50" customFormat="false" ht="15" hidden="false" customHeight="false" outlineLevel="0" collapsed="false">
      <c r="A50" s="11" t="s">
        <v>481</v>
      </c>
      <c r="B50" s="10" t="s">
        <v>292</v>
      </c>
      <c r="C50" s="11" t="str">
        <f aca="false">IFERROR(INDEX(Productos!$B:$B,MATCH($B50,Productos!$A:$A,0)),"")</f>
        <v>Galletas Saltín</v>
      </c>
      <c r="D50" s="11" t="s">
        <v>394</v>
      </c>
      <c r="E50" s="11" t="str">
        <f aca="false">IFERROR(INDEX(Tiendas!$B:$B,MATCH($D50,Tiendas!$A:$A,0)),"")</f>
        <v>Olímpica Barranquilla</v>
      </c>
      <c r="F50" s="11" t="str">
        <f aca="false">IFERROR(INDEX(Tiendas!$E:$E,MATCH($D50,Tiendas!$A:$A,0)),"")</f>
        <v>Barranquilla</v>
      </c>
      <c r="G50" s="19" t="n">
        <v>7200</v>
      </c>
      <c r="H50" s="16" t="n">
        <v>101</v>
      </c>
      <c r="I50" s="16" t="n">
        <v>65</v>
      </c>
      <c r="J50" s="11" t="str">
        <f aca="false">IF(H50&lt;I50,"Reabastecer","OK")</f>
        <v>OK</v>
      </c>
      <c r="K50" s="19" t="n">
        <f aca="false">G50*H50</f>
        <v>727200</v>
      </c>
    </row>
    <row r="51" customFormat="false" ht="15" hidden="false" customHeight="false" outlineLevel="0" collapsed="false">
      <c r="A51" s="11" t="s">
        <v>482</v>
      </c>
      <c r="B51" s="10" t="s">
        <v>283</v>
      </c>
      <c r="C51" s="11" t="str">
        <f aca="false">IFERROR(INDEX(Productos!$B:$B,MATCH($B51,Productos!$A:$A,0)),"")</f>
        <v>Papas fritas sabor pollo</v>
      </c>
      <c r="D51" s="11" t="s">
        <v>416</v>
      </c>
      <c r="E51" s="11" t="str">
        <f aca="false">IFERROR(INDEX(Tiendas!$B:$B,MATCH($D51,Tiendas!$A:$A,0)),"")</f>
        <v>Surtimax Bucaramanga</v>
      </c>
      <c r="F51" s="11" t="str">
        <f aca="false">IFERROR(INDEX(Tiendas!$E:$E,MATCH($D51,Tiendas!$A:$A,0)),"")</f>
        <v>Bucaramanga</v>
      </c>
      <c r="G51" s="19" t="n">
        <v>5100</v>
      </c>
      <c r="H51" s="16" t="n">
        <v>118</v>
      </c>
      <c r="I51" s="16" t="n">
        <v>75</v>
      </c>
      <c r="J51" s="11" t="str">
        <f aca="false">IF(H51&lt;I51,"Reabastecer","OK")</f>
        <v>OK</v>
      </c>
      <c r="K51" s="19" t="n">
        <f aca="false">G51*H51</f>
        <v>601800</v>
      </c>
    </row>
    <row r="52" customFormat="false" ht="15" hidden="false" customHeight="false" outlineLevel="0" collapsed="false">
      <c r="A52" s="11" t="s">
        <v>483</v>
      </c>
      <c r="B52" s="10" t="s">
        <v>265</v>
      </c>
      <c r="C52" s="11" t="str">
        <f aca="false">IFERROR(INDEX(Productos!$B:$B,MATCH($B52,Productos!$A:$A,0)),"")</f>
        <v>Bon Bon Bum surtido</v>
      </c>
      <c r="D52" s="11" t="s">
        <v>386</v>
      </c>
      <c r="E52" s="11" t="str">
        <f aca="false">IFERROR(INDEX(Tiendas!$B:$B,MATCH($D52,Tiendas!$A:$A,0)),"")</f>
        <v>Jumbo Bogotá</v>
      </c>
      <c r="F52" s="11" t="str">
        <f aca="false">IFERROR(INDEX(Tiendas!$E:$E,MATCH($D52,Tiendas!$A:$A,0)),"")</f>
        <v>Bogotá D.C.</v>
      </c>
      <c r="G52" s="19" t="n">
        <v>11600</v>
      </c>
      <c r="H52" s="16" t="n">
        <v>281</v>
      </c>
      <c r="I52" s="16" t="n">
        <v>145</v>
      </c>
      <c r="J52" s="11" t="str">
        <f aca="false">IF(H52&lt;I52,"Reabastecer","OK")</f>
        <v>OK</v>
      </c>
      <c r="K52" s="19" t="n">
        <f aca="false">G52*H52</f>
        <v>3259600</v>
      </c>
    </row>
    <row r="53" customFormat="false" ht="15" hidden="false" customHeight="false" outlineLevel="0" collapsed="false">
      <c r="A53" s="11" t="s">
        <v>484</v>
      </c>
      <c r="B53" s="10" t="s">
        <v>186</v>
      </c>
      <c r="C53" s="11" t="str">
        <f aca="false">IFERROR(INDEX(Productos!$B:$B,MATCH($B53,Productos!$A:$A,0)),"")</f>
        <v>Café instantáneo clásico</v>
      </c>
      <c r="D53" s="11" t="s">
        <v>423</v>
      </c>
      <c r="E53" s="11" t="str">
        <f aca="false">IFERROR(INDEX(Tiendas!$B:$B,MATCH($D53,Tiendas!$A:$A,0)),"")</f>
        <v>Tienda de barrio Bogotá</v>
      </c>
      <c r="F53" s="11" t="str">
        <f aca="false">IFERROR(INDEX(Tiendas!$E:$E,MATCH($D53,Tiendas!$A:$A,0)),"")</f>
        <v>Bogotá D.C.</v>
      </c>
      <c r="G53" s="19" t="n">
        <v>15800</v>
      </c>
      <c r="H53" s="16" t="n">
        <v>22</v>
      </c>
      <c r="I53" s="16" t="n">
        <v>20</v>
      </c>
      <c r="J53" s="11" t="str">
        <f aca="false">IF(H53&lt;I53,"Reabastecer","OK")</f>
        <v>OK</v>
      </c>
      <c r="K53" s="19" t="n">
        <f aca="false">G53*H53</f>
        <v>347600</v>
      </c>
    </row>
    <row r="54" customFormat="false" ht="15" hidden="false" customHeight="false" outlineLevel="0" collapsed="false">
      <c r="A54" s="11" t="s">
        <v>485</v>
      </c>
      <c r="B54" s="10" t="s">
        <v>83</v>
      </c>
      <c r="C54" s="11" t="str">
        <f aca="false">IFERROR(INDEX(Productos!$B:$B,MATCH($B54,Productos!$A:$A,0)),"")</f>
        <v>Uchuva con capacho</v>
      </c>
      <c r="D54" s="11" t="s">
        <v>419</v>
      </c>
      <c r="E54" s="11" t="str">
        <f aca="false">IFERROR(INDEX(Tiendas!$B:$B,MATCH($D54,Tiendas!$A:$A,0)),"")</f>
        <v>Éxito Cartagena</v>
      </c>
      <c r="F54" s="11" t="str">
        <f aca="false">IFERROR(INDEX(Tiendas!$E:$E,MATCH($D54,Tiendas!$A:$A,0)),"")</f>
        <v>Cartagena</v>
      </c>
      <c r="G54" s="19" t="n">
        <v>6900</v>
      </c>
      <c r="H54" s="16" t="n">
        <v>29</v>
      </c>
      <c r="I54" s="16" t="n">
        <v>71</v>
      </c>
      <c r="J54" s="11" t="str">
        <f aca="false">IF(H54&lt;I54,"Reabastecer","OK")</f>
        <v>Reabastecer</v>
      </c>
      <c r="K54" s="19" t="n">
        <f aca="false">G54*H54</f>
        <v>200100</v>
      </c>
    </row>
    <row r="55" customFormat="false" ht="15" hidden="false" customHeight="false" outlineLevel="0" collapsed="false">
      <c r="A55" s="11" t="s">
        <v>486</v>
      </c>
      <c r="B55" s="10" t="s">
        <v>130</v>
      </c>
      <c r="C55" s="11" t="str">
        <f aca="false">IFERROR(INDEX(Productos!$B:$B,MATCH($B55,Productos!$A:$A,0)),"")</f>
        <v>Queso campesino</v>
      </c>
      <c r="D55" s="11" t="s">
        <v>405</v>
      </c>
      <c r="E55" s="11" t="str">
        <f aca="false">IFERROR(INDEX(Tiendas!$B:$B,MATCH($D55,Tiendas!$A:$A,0)),"")</f>
        <v>Ara Medellín</v>
      </c>
      <c r="F55" s="11" t="str">
        <f aca="false">IFERROR(INDEX(Tiendas!$E:$E,MATCH($D55,Tiendas!$A:$A,0)),"")</f>
        <v>Medellín</v>
      </c>
      <c r="G55" s="19" t="n">
        <v>16500</v>
      </c>
      <c r="H55" s="16" t="n">
        <v>67</v>
      </c>
      <c r="I55" s="16" t="n">
        <v>77</v>
      </c>
      <c r="J55" s="11" t="str">
        <f aca="false">IF(H55&lt;I55,"Reabastecer","OK")</f>
        <v>Reabastecer</v>
      </c>
      <c r="K55" s="19" t="n">
        <f aca="false">G55*H55</f>
        <v>1105500</v>
      </c>
    </row>
    <row r="56" customFormat="false" ht="15" hidden="false" customHeight="false" outlineLevel="0" collapsed="false">
      <c r="A56" s="11" t="s">
        <v>487</v>
      </c>
      <c r="B56" s="10" t="s">
        <v>98</v>
      </c>
      <c r="C56" s="11" t="str">
        <f aca="false">IFERROR(INDEX(Productos!$B:$B,MATCH($B56,Productos!$A:$A,0)),"")</f>
        <v>Mango Tommy</v>
      </c>
      <c r="D56" s="11" t="s">
        <v>386</v>
      </c>
      <c r="E56" s="11" t="str">
        <f aca="false">IFERROR(INDEX(Tiendas!$B:$B,MATCH($D56,Tiendas!$A:$A,0)),"")</f>
        <v>Jumbo Bogotá</v>
      </c>
      <c r="F56" s="11" t="str">
        <f aca="false">IFERROR(INDEX(Tiendas!$E:$E,MATCH($D56,Tiendas!$A:$A,0)),"")</f>
        <v>Bogotá D.C.</v>
      </c>
      <c r="G56" s="19" t="n">
        <v>6700</v>
      </c>
      <c r="H56" s="16" t="n">
        <v>240</v>
      </c>
      <c r="I56" s="16" t="n">
        <v>125</v>
      </c>
      <c r="J56" s="11" t="str">
        <f aca="false">IF(H56&lt;I56,"Reabastecer","OK")</f>
        <v>OK</v>
      </c>
      <c r="K56" s="19" t="n">
        <f aca="false">G56*H56</f>
        <v>1608000</v>
      </c>
    </row>
    <row r="57" customFormat="false" ht="15" hidden="false" customHeight="false" outlineLevel="0" collapsed="false">
      <c r="A57" s="11" t="s">
        <v>488</v>
      </c>
      <c r="B57" s="10" t="s">
        <v>159</v>
      </c>
      <c r="C57" s="11" t="str">
        <f aca="false">IFERROR(INDEX(Productos!$B:$B,MATCH($B57,Productos!$A:$A,0)),"")</f>
        <v>Arroz blanco</v>
      </c>
      <c r="D57" s="11" t="s">
        <v>408</v>
      </c>
      <c r="E57" s="11" t="str">
        <f aca="false">IFERROR(INDEX(Tiendas!$B:$B,MATCH($D57,Tiendas!$A:$A,0)),"")</f>
        <v>Makro Cali</v>
      </c>
      <c r="F57" s="11" t="str">
        <f aca="false">IFERROR(INDEX(Tiendas!$E:$E,MATCH($D57,Tiendas!$A:$A,0)),"")</f>
        <v>Cali</v>
      </c>
      <c r="G57" s="19" t="n">
        <v>5700</v>
      </c>
      <c r="H57" s="16" t="n">
        <v>332</v>
      </c>
      <c r="I57" s="16" t="n">
        <v>204</v>
      </c>
      <c r="J57" s="11" t="str">
        <f aca="false">IF(H57&lt;I57,"Reabastecer","OK")</f>
        <v>OK</v>
      </c>
      <c r="K57" s="19" t="n">
        <f aca="false">G57*H57</f>
        <v>1892400</v>
      </c>
    </row>
    <row r="58" customFormat="false" ht="15" hidden="false" customHeight="false" outlineLevel="0" collapsed="false">
      <c r="A58" s="11" t="s">
        <v>489</v>
      </c>
      <c r="B58" s="10" t="s">
        <v>244</v>
      </c>
      <c r="C58" s="11" t="str">
        <f aca="false">IFERROR(INDEX(Productos!$B:$B,MATCH($B58,Productos!$A:$A,0)),"")</f>
        <v>Gaseosa Colombiana</v>
      </c>
      <c r="D58" s="11" t="s">
        <v>386</v>
      </c>
      <c r="E58" s="11" t="str">
        <f aca="false">IFERROR(INDEX(Tiendas!$B:$B,MATCH($D58,Tiendas!$A:$A,0)),"")</f>
        <v>Jumbo Bogotá</v>
      </c>
      <c r="F58" s="11" t="str">
        <f aca="false">IFERROR(INDEX(Tiendas!$E:$E,MATCH($D58,Tiendas!$A:$A,0)),"")</f>
        <v>Bogotá D.C.</v>
      </c>
      <c r="G58" s="19" t="n">
        <v>5400</v>
      </c>
      <c r="H58" s="16" t="n">
        <v>125</v>
      </c>
      <c r="I58" s="16" t="n">
        <v>48</v>
      </c>
      <c r="J58" s="11" t="str">
        <f aca="false">IF(H58&lt;I58,"Reabastecer","OK")</f>
        <v>OK</v>
      </c>
      <c r="K58" s="19" t="n">
        <f aca="false">G58*H58</f>
        <v>675000</v>
      </c>
    </row>
    <row r="59" customFormat="false" ht="15" hidden="false" customHeight="false" outlineLevel="0" collapsed="false">
      <c r="A59" s="11" t="s">
        <v>490</v>
      </c>
      <c r="B59" s="10" t="s">
        <v>60</v>
      </c>
      <c r="C59" s="11" t="str">
        <f aca="false">IFERROR(INDEX(Productos!$B:$B,MATCH($B59,Productos!$A:$A,0)),"")</f>
        <v>Aguacate Hass</v>
      </c>
      <c r="D59" s="11" t="s">
        <v>408</v>
      </c>
      <c r="E59" s="11" t="str">
        <f aca="false">IFERROR(INDEX(Tiendas!$B:$B,MATCH($D59,Tiendas!$A:$A,0)),"")</f>
        <v>Makro Cali</v>
      </c>
      <c r="F59" s="11" t="str">
        <f aca="false">IFERROR(INDEX(Tiendas!$E:$E,MATCH($D59,Tiendas!$A:$A,0)),"")</f>
        <v>Cali</v>
      </c>
      <c r="G59" s="19" t="n">
        <v>13200</v>
      </c>
      <c r="H59" s="16" t="n">
        <v>343</v>
      </c>
      <c r="I59" s="16" t="n">
        <v>125</v>
      </c>
      <c r="J59" s="11" t="str">
        <f aca="false">IF(H59&lt;I59,"Reabastecer","OK")</f>
        <v>OK</v>
      </c>
      <c r="K59" s="19" t="n">
        <f aca="false">G59*H59</f>
        <v>4527600</v>
      </c>
    </row>
    <row r="60" customFormat="false" ht="15" hidden="false" customHeight="false" outlineLevel="0" collapsed="false">
      <c r="A60" s="11" t="s">
        <v>491</v>
      </c>
      <c r="B60" s="10" t="s">
        <v>137</v>
      </c>
      <c r="C60" s="11" t="str">
        <f aca="false">IFERROR(INDEX(Productos!$B:$B,MATCH($B60,Productos!$A:$A,0)),"")</f>
        <v>Salchichas tipo Viena</v>
      </c>
      <c r="D60" s="11" t="s">
        <v>390</v>
      </c>
      <c r="E60" s="11" t="str">
        <f aca="false">IFERROR(INDEX(Tiendas!$B:$B,MATCH($D60,Tiendas!$A:$A,0)),"")</f>
        <v>Carulla Bogotá</v>
      </c>
      <c r="F60" s="11" t="str">
        <f aca="false">IFERROR(INDEX(Tiendas!$E:$E,MATCH($D60,Tiendas!$A:$A,0)),"")</f>
        <v>Bogotá D.C.</v>
      </c>
      <c r="G60" s="19" t="n">
        <v>12000</v>
      </c>
      <c r="H60" s="16" t="n">
        <v>68</v>
      </c>
      <c r="I60" s="16" t="n">
        <v>45</v>
      </c>
      <c r="J60" s="11" t="str">
        <f aca="false">IF(H60&lt;I60,"Reabastecer","OK")</f>
        <v>OK</v>
      </c>
      <c r="K60" s="19" t="n">
        <f aca="false">G60*H60</f>
        <v>816000</v>
      </c>
    </row>
    <row r="61" customFormat="false" ht="15" hidden="false" customHeight="false" outlineLevel="0" collapsed="false">
      <c r="A61" s="11" t="s">
        <v>492</v>
      </c>
      <c r="B61" s="10" t="s">
        <v>292</v>
      </c>
      <c r="C61" s="11" t="str">
        <f aca="false">IFERROR(INDEX(Productos!$B:$B,MATCH($B61,Productos!$A:$A,0)),"")</f>
        <v>Galletas Saltín</v>
      </c>
      <c r="D61" s="11" t="s">
        <v>400</v>
      </c>
      <c r="E61" s="11" t="str">
        <f aca="false">IFERROR(INDEX(Tiendas!$B:$B,MATCH($D61,Tiendas!$A:$A,0)),"")</f>
        <v>D1 Cali</v>
      </c>
      <c r="F61" s="11" t="str">
        <f aca="false">IFERROR(INDEX(Tiendas!$E:$E,MATCH($D61,Tiendas!$A:$A,0)),"")</f>
        <v>Cali</v>
      </c>
      <c r="G61" s="19" t="n">
        <v>6400</v>
      </c>
      <c r="H61" s="16" t="n">
        <v>9</v>
      </c>
      <c r="I61" s="16" t="n">
        <v>26</v>
      </c>
      <c r="J61" s="11" t="str">
        <f aca="false">IF(H61&lt;I61,"Reabastecer","OK")</f>
        <v>Reabastecer</v>
      </c>
      <c r="K61" s="19" t="n">
        <f aca="false">G61*H61</f>
        <v>57600</v>
      </c>
    </row>
    <row r="62" customFormat="false" ht="15" hidden="false" customHeight="false" outlineLevel="0" collapsed="false">
      <c r="A62" s="11" t="s">
        <v>493</v>
      </c>
      <c r="B62" s="10" t="s">
        <v>67</v>
      </c>
      <c r="C62" s="11" t="str">
        <f aca="false">IFERROR(INDEX(Productos!$B:$B,MATCH($B62,Productos!$A:$A,0)),"")</f>
        <v>Papa criolla lavada</v>
      </c>
      <c r="D62" s="11" t="s">
        <v>416</v>
      </c>
      <c r="E62" s="11" t="str">
        <f aca="false">IFERROR(INDEX(Tiendas!$B:$B,MATCH($D62,Tiendas!$A:$A,0)),"")</f>
        <v>Surtimax Bucaramanga</v>
      </c>
      <c r="F62" s="11" t="str">
        <f aca="false">IFERROR(INDEX(Tiendas!$E:$E,MATCH($D62,Tiendas!$A:$A,0)),"")</f>
        <v>Bucaramanga</v>
      </c>
      <c r="G62" s="19" t="n">
        <v>4500</v>
      </c>
      <c r="H62" s="16" t="n">
        <v>37</v>
      </c>
      <c r="I62" s="16" t="n">
        <v>17</v>
      </c>
      <c r="J62" s="11" t="str">
        <f aca="false">IF(H62&lt;I62,"Reabastecer","OK")</f>
        <v>OK</v>
      </c>
      <c r="K62" s="19" t="n">
        <f aca="false">G62*H62</f>
        <v>166500</v>
      </c>
    </row>
    <row r="63" customFormat="false" ht="15" hidden="false" customHeight="false" outlineLevel="0" collapsed="false">
      <c r="A63" s="11" t="s">
        <v>494</v>
      </c>
      <c r="B63" s="10" t="s">
        <v>91</v>
      </c>
      <c r="C63" s="11" t="str">
        <f aca="false">IFERROR(INDEX(Productos!$B:$B,MATCH($B63,Productos!$A:$A,0)),"")</f>
        <v>Lulo</v>
      </c>
      <c r="D63" s="11" t="s">
        <v>394</v>
      </c>
      <c r="E63" s="11" t="str">
        <f aca="false">IFERROR(INDEX(Tiendas!$B:$B,MATCH($D63,Tiendas!$A:$A,0)),"")</f>
        <v>Olímpica Barranquilla</v>
      </c>
      <c r="F63" s="11" t="str">
        <f aca="false">IFERROR(INDEX(Tiendas!$E:$E,MATCH($D63,Tiendas!$A:$A,0)),"")</f>
        <v>Barranquilla</v>
      </c>
      <c r="G63" s="19" t="n">
        <v>6500</v>
      </c>
      <c r="H63" s="16" t="n">
        <v>56</v>
      </c>
      <c r="I63" s="16" t="n">
        <v>81</v>
      </c>
      <c r="J63" s="11" t="str">
        <f aca="false">IF(H63&lt;I63,"Reabastecer","OK")</f>
        <v>Reabastecer</v>
      </c>
      <c r="K63" s="19" t="n">
        <f aca="false">G63*H63</f>
        <v>364000</v>
      </c>
    </row>
    <row r="64" customFormat="false" ht="15" hidden="false" customHeight="false" outlineLevel="0" collapsed="false">
      <c r="A64" s="11" t="s">
        <v>495</v>
      </c>
      <c r="B64" s="10" t="s">
        <v>213</v>
      </c>
      <c r="C64" s="11" t="str">
        <f aca="false">IFERROR(INDEX(Productos!$B:$B,MATCH($B64,Productos!$A:$A,0)),"")</f>
        <v>Fríjol cargamanto</v>
      </c>
      <c r="D64" s="11" t="s">
        <v>390</v>
      </c>
      <c r="E64" s="11" t="str">
        <f aca="false">IFERROR(INDEX(Tiendas!$B:$B,MATCH($D64,Tiendas!$A:$A,0)),"")</f>
        <v>Carulla Bogotá</v>
      </c>
      <c r="F64" s="11" t="str">
        <f aca="false">IFERROR(INDEX(Tiendas!$E:$E,MATCH($D64,Tiendas!$A:$A,0)),"")</f>
        <v>Bogotá D.C.</v>
      </c>
      <c r="G64" s="19" t="n">
        <v>10200</v>
      </c>
      <c r="H64" s="16" t="n">
        <v>8</v>
      </c>
      <c r="I64" s="16" t="n">
        <v>23</v>
      </c>
      <c r="J64" s="11" t="str">
        <f aca="false">IF(H64&lt;I64,"Reabastecer","OK")</f>
        <v>Reabastecer</v>
      </c>
      <c r="K64" s="19" t="n">
        <f aca="false">G64*H64</f>
        <v>81600</v>
      </c>
    </row>
    <row r="65" customFormat="false" ht="15" hidden="false" customHeight="false" outlineLevel="0" collapsed="false">
      <c r="A65" s="11" t="s">
        <v>496</v>
      </c>
      <c r="B65" s="10" t="s">
        <v>255</v>
      </c>
      <c r="C65" s="11" t="str">
        <f aca="false">IFERROR(INDEX(Productos!$B:$B,MATCH($B65,Productos!$A:$A,0)),"")</f>
        <v>Aguardiente tradicional</v>
      </c>
      <c r="D65" s="11" t="s">
        <v>419</v>
      </c>
      <c r="E65" s="11" t="str">
        <f aca="false">IFERROR(INDEX(Tiendas!$B:$B,MATCH($D65,Tiendas!$A:$A,0)),"")</f>
        <v>Éxito Cartagena</v>
      </c>
      <c r="F65" s="11" t="str">
        <f aca="false">IFERROR(INDEX(Tiendas!$E:$E,MATCH($D65,Tiendas!$A:$A,0)),"")</f>
        <v>Cartagena</v>
      </c>
      <c r="G65" s="19" t="n">
        <v>62300</v>
      </c>
      <c r="H65" s="16" t="n">
        <v>31</v>
      </c>
      <c r="I65" s="16" t="n">
        <v>45</v>
      </c>
      <c r="J65" s="11" t="str">
        <f aca="false">IF(H65&lt;I65,"Reabastecer","OK")</f>
        <v>Reabastecer</v>
      </c>
      <c r="K65" s="19" t="n">
        <f aca="false">G65*H65</f>
        <v>1931300</v>
      </c>
    </row>
    <row r="66" customFormat="false" ht="15" hidden="false" customHeight="false" outlineLevel="0" collapsed="false">
      <c r="A66" s="11" t="s">
        <v>497</v>
      </c>
      <c r="B66" s="10" t="s">
        <v>202</v>
      </c>
      <c r="C66" s="11" t="str">
        <f aca="false">IFERROR(INDEX(Productos!$B:$B,MATCH($B66,Productos!$A:$A,0)),"")</f>
        <v>Aceite de girasol</v>
      </c>
      <c r="D66" s="11" t="s">
        <v>413</v>
      </c>
      <c r="E66" s="11" t="str">
        <f aca="false">IFERROR(INDEX(Tiendas!$B:$B,MATCH($D66,Tiendas!$A:$A,0)),"")</f>
        <v>Justo &amp; Bueno Bogotá</v>
      </c>
      <c r="F66" s="11" t="str">
        <f aca="false">IFERROR(INDEX(Tiendas!$E:$E,MATCH($D66,Tiendas!$A:$A,0)),"")</f>
        <v>Bogotá D.C.</v>
      </c>
      <c r="G66" s="19" t="n">
        <v>16900</v>
      </c>
      <c r="H66" s="16" t="n">
        <v>127</v>
      </c>
      <c r="I66" s="16" t="n">
        <v>68</v>
      </c>
      <c r="J66" s="11" t="str">
        <f aca="false">IF(H66&lt;I66,"Reabastecer","OK")</f>
        <v>OK</v>
      </c>
      <c r="K66" s="19" t="n">
        <f aca="false">G66*H66</f>
        <v>2146300</v>
      </c>
    </row>
    <row r="67" customFormat="false" ht="15" hidden="false" customHeight="false" outlineLevel="0" collapsed="false">
      <c r="A67" s="11" t="s">
        <v>498</v>
      </c>
      <c r="B67" s="10" t="s">
        <v>186</v>
      </c>
      <c r="C67" s="11" t="str">
        <f aca="false">IFERROR(INDEX(Productos!$B:$B,MATCH($B67,Productos!$A:$A,0)),"")</f>
        <v>Café instantáneo clásico</v>
      </c>
      <c r="D67" s="11" t="s">
        <v>405</v>
      </c>
      <c r="E67" s="11" t="str">
        <f aca="false">IFERROR(INDEX(Tiendas!$B:$B,MATCH($D67,Tiendas!$A:$A,0)),"")</f>
        <v>Ara Medellín</v>
      </c>
      <c r="F67" s="11" t="str">
        <f aca="false">IFERROR(INDEX(Tiendas!$E:$E,MATCH($D67,Tiendas!$A:$A,0)),"")</f>
        <v>Medellín</v>
      </c>
      <c r="G67" s="19" t="n">
        <v>14600</v>
      </c>
      <c r="H67" s="16" t="n">
        <v>13</v>
      </c>
      <c r="I67" s="16" t="n">
        <v>24</v>
      </c>
      <c r="J67" s="11" t="str">
        <f aca="false">IF(H67&lt;I67,"Reabastecer","OK")</f>
        <v>Reabastecer</v>
      </c>
      <c r="K67" s="19" t="n">
        <f aca="false">G67*H67</f>
        <v>189800</v>
      </c>
    </row>
    <row r="68" customFormat="false" ht="15" hidden="false" customHeight="false" outlineLevel="0" collapsed="false">
      <c r="A68" s="11" t="s">
        <v>499</v>
      </c>
      <c r="B68" s="10" t="s">
        <v>275</v>
      </c>
      <c r="C68" s="11" t="str">
        <f aca="false">IFERROR(INDEX(Productos!$B:$B,MATCH($B68,Productos!$A:$A,0)),"")</f>
        <v>Chocolatina Jet</v>
      </c>
      <c r="D68" s="11" t="s">
        <v>416</v>
      </c>
      <c r="E68" s="11" t="str">
        <f aca="false">IFERROR(INDEX(Tiendas!$B:$B,MATCH($D68,Tiendas!$A:$A,0)),"")</f>
        <v>Surtimax Bucaramanga</v>
      </c>
      <c r="F68" s="11" t="str">
        <f aca="false">IFERROR(INDEX(Tiendas!$E:$E,MATCH($D68,Tiendas!$A:$A,0)),"")</f>
        <v>Bucaramanga</v>
      </c>
      <c r="G68" s="19" t="n">
        <v>15000</v>
      </c>
      <c r="H68" s="16" t="n">
        <v>114</v>
      </c>
      <c r="I68" s="16" t="n">
        <v>62</v>
      </c>
      <c r="J68" s="11" t="str">
        <f aca="false">IF(H68&lt;I68,"Reabastecer","OK")</f>
        <v>OK</v>
      </c>
      <c r="K68" s="19" t="n">
        <f aca="false">G68*H68</f>
        <v>1710000</v>
      </c>
    </row>
    <row r="69" customFormat="false" ht="15" hidden="false" customHeight="false" outlineLevel="0" collapsed="false">
      <c r="A69" s="11" t="s">
        <v>500</v>
      </c>
      <c r="B69" s="10" t="s">
        <v>255</v>
      </c>
      <c r="C69" s="11" t="str">
        <f aca="false">IFERROR(INDEX(Productos!$B:$B,MATCH($B69,Productos!$A:$A,0)),"")</f>
        <v>Aguardiente tradicional</v>
      </c>
      <c r="D69" s="11" t="s">
        <v>390</v>
      </c>
      <c r="E69" s="11" t="str">
        <f aca="false">IFERROR(INDEX(Tiendas!$B:$B,MATCH($D69,Tiendas!$A:$A,0)),"")</f>
        <v>Carulla Bogotá</v>
      </c>
      <c r="F69" s="11" t="str">
        <f aca="false">IFERROR(INDEX(Tiendas!$E:$E,MATCH($D69,Tiendas!$A:$A,0)),"")</f>
        <v>Bogotá D.C.</v>
      </c>
      <c r="G69" s="19" t="n">
        <v>68900</v>
      </c>
      <c r="H69" s="16" t="n">
        <v>22</v>
      </c>
      <c r="I69" s="16" t="n">
        <v>37</v>
      </c>
      <c r="J69" s="11" t="str">
        <f aca="false">IF(H69&lt;I69,"Reabastecer","OK")</f>
        <v>Reabastecer</v>
      </c>
      <c r="K69" s="19" t="n">
        <f aca="false">G69*H69</f>
        <v>1515800</v>
      </c>
    </row>
    <row r="70" customFormat="false" ht="15" hidden="false" customHeight="false" outlineLevel="0" collapsed="false">
      <c r="A70" s="11" t="s">
        <v>501</v>
      </c>
      <c r="B70" s="10" t="s">
        <v>67</v>
      </c>
      <c r="C70" s="11" t="str">
        <f aca="false">IFERROR(INDEX(Productos!$B:$B,MATCH($B70,Productos!$A:$A,0)),"")</f>
        <v>Papa criolla lavada</v>
      </c>
      <c r="D70" s="11" t="s">
        <v>381</v>
      </c>
      <c r="E70" s="11" t="str">
        <f aca="false">IFERROR(INDEX(Tiendas!$B:$B,MATCH($D70,Tiendas!$A:$A,0)),"")</f>
        <v>Éxito Medellín</v>
      </c>
      <c r="F70" s="11" t="str">
        <f aca="false">IFERROR(INDEX(Tiendas!$E:$E,MATCH($D70,Tiendas!$A:$A,0)),"")</f>
        <v>Medellín</v>
      </c>
      <c r="G70" s="19" t="n">
        <v>4800</v>
      </c>
      <c r="H70" s="16" t="n">
        <v>332</v>
      </c>
      <c r="I70" s="16" t="n">
        <v>237</v>
      </c>
      <c r="J70" s="11" t="str">
        <f aca="false">IF(H70&lt;I70,"Reabastecer","OK")</f>
        <v>OK</v>
      </c>
      <c r="K70" s="19" t="n">
        <f aca="false">G70*H70</f>
        <v>1593600</v>
      </c>
    </row>
    <row r="71" customFormat="false" ht="15" hidden="false" customHeight="false" outlineLevel="0" collapsed="false">
      <c r="A71" s="11" t="s">
        <v>502</v>
      </c>
      <c r="B71" s="10" t="s">
        <v>176</v>
      </c>
      <c r="C71" s="11" t="str">
        <f aca="false">IFERROR(INDEX(Productos!$B:$B,MATCH($B71,Productos!$A:$A,0)),"")</f>
        <v>Café tostado y molido</v>
      </c>
      <c r="D71" s="11" t="s">
        <v>408</v>
      </c>
      <c r="E71" s="11" t="str">
        <f aca="false">IFERROR(INDEX(Tiendas!$B:$B,MATCH($D71,Tiendas!$A:$A,0)),"")</f>
        <v>Makro Cali</v>
      </c>
      <c r="F71" s="11" t="str">
        <f aca="false">IFERROR(INDEX(Tiendas!$E:$E,MATCH($D71,Tiendas!$A:$A,0)),"")</f>
        <v>Cali</v>
      </c>
      <c r="G71" s="19" t="n">
        <v>32400</v>
      </c>
      <c r="H71" s="16" t="n">
        <v>209</v>
      </c>
      <c r="I71" s="16" t="n">
        <v>78</v>
      </c>
      <c r="J71" s="11" t="str">
        <f aca="false">IF(H71&lt;I71,"Reabastecer","OK")</f>
        <v>OK</v>
      </c>
      <c r="K71" s="19" t="n">
        <f aca="false">G71*H71</f>
        <v>6771600</v>
      </c>
    </row>
    <row r="72" customFormat="false" ht="15" hidden="false" customHeight="false" outlineLevel="0" collapsed="false">
      <c r="A72" s="11" t="s">
        <v>503</v>
      </c>
      <c r="B72" s="10" t="s">
        <v>202</v>
      </c>
      <c r="C72" s="11" t="str">
        <f aca="false">IFERROR(INDEX(Productos!$B:$B,MATCH($B72,Productos!$A:$A,0)),"")</f>
        <v>Aceite de girasol</v>
      </c>
      <c r="D72" s="11" t="s">
        <v>381</v>
      </c>
      <c r="E72" s="11" t="str">
        <f aca="false">IFERROR(INDEX(Tiendas!$B:$B,MATCH($D72,Tiendas!$A:$A,0)),"")</f>
        <v>Éxito Medellín</v>
      </c>
      <c r="F72" s="11" t="str">
        <f aca="false">IFERROR(INDEX(Tiendas!$E:$E,MATCH($D72,Tiendas!$A:$A,0)),"")</f>
        <v>Medellín</v>
      </c>
      <c r="G72" s="19" t="n">
        <v>16500</v>
      </c>
      <c r="H72" s="16" t="n">
        <v>40</v>
      </c>
      <c r="I72" s="16" t="n">
        <v>45</v>
      </c>
      <c r="J72" s="11" t="str">
        <f aca="false">IF(H72&lt;I72,"Reabastecer","OK")</f>
        <v>Reabastecer</v>
      </c>
      <c r="K72" s="19" t="n">
        <f aca="false">G72*H72</f>
        <v>660000</v>
      </c>
    </row>
    <row r="73" customFormat="false" ht="15" hidden="false" customHeight="false" outlineLevel="0" collapsed="false">
      <c r="A73" s="11" t="s">
        <v>504</v>
      </c>
      <c r="B73" s="10" t="s">
        <v>219</v>
      </c>
      <c r="C73" s="11" t="str">
        <f aca="false">IFERROR(INDEX(Productos!$B:$B,MATCH($B73,Productos!$A:$A,0)),"")</f>
        <v>Bocadillo veleño</v>
      </c>
      <c r="D73" s="11" t="s">
        <v>394</v>
      </c>
      <c r="E73" s="11" t="str">
        <f aca="false">IFERROR(INDEX(Tiendas!$B:$B,MATCH($D73,Tiendas!$A:$A,0)),"")</f>
        <v>Olímpica Barranquilla</v>
      </c>
      <c r="F73" s="11" t="str">
        <f aca="false">IFERROR(INDEX(Tiendas!$E:$E,MATCH($D73,Tiendas!$A:$A,0)),"")</f>
        <v>Barranquilla</v>
      </c>
      <c r="G73" s="19" t="n">
        <v>9100</v>
      </c>
      <c r="H73" s="16" t="n">
        <v>40</v>
      </c>
      <c r="I73" s="16" t="n">
        <v>33</v>
      </c>
      <c r="J73" s="11" t="str">
        <f aca="false">IF(H73&lt;I73,"Reabastecer","OK")</f>
        <v>OK</v>
      </c>
      <c r="K73" s="19" t="n">
        <f aca="false">G73*H73</f>
        <v>364000</v>
      </c>
    </row>
    <row r="74" customFormat="false" ht="15" hidden="false" customHeight="false" outlineLevel="0" collapsed="false">
      <c r="A74" s="11" t="s">
        <v>505</v>
      </c>
      <c r="B74" s="10" t="s">
        <v>194</v>
      </c>
      <c r="C74" s="11" t="str">
        <f aca="false">IFERROR(INDEX(Productos!$B:$B,MATCH($B74,Productos!$A:$A,0)),"")</f>
        <v>Chocolate de mesa</v>
      </c>
      <c r="D74" s="11" t="s">
        <v>419</v>
      </c>
      <c r="E74" s="11" t="str">
        <f aca="false">IFERROR(INDEX(Tiendas!$B:$B,MATCH($D74,Tiendas!$A:$A,0)),"")</f>
        <v>Éxito Cartagena</v>
      </c>
      <c r="F74" s="11" t="str">
        <f aca="false">IFERROR(INDEX(Tiendas!$E:$E,MATCH($D74,Tiendas!$A:$A,0)),"")</f>
        <v>Cartagena</v>
      </c>
      <c r="G74" s="19" t="n">
        <v>15300</v>
      </c>
      <c r="H74" s="16" t="n">
        <v>19</v>
      </c>
      <c r="I74" s="16" t="n">
        <v>14</v>
      </c>
      <c r="J74" s="11" t="str">
        <f aca="false">IF(H74&lt;I74,"Reabastecer","OK")</f>
        <v>OK</v>
      </c>
      <c r="K74" s="19" t="n">
        <f aca="false">G74*H74</f>
        <v>290700</v>
      </c>
    </row>
    <row r="75" customFormat="false" ht="15" hidden="false" customHeight="false" outlineLevel="0" collapsed="false">
      <c r="A75" s="11" t="s">
        <v>506</v>
      </c>
      <c r="B75" s="10" t="s">
        <v>113</v>
      </c>
      <c r="C75" s="11" t="str">
        <f aca="false">IFERROR(INDEX(Productos!$B:$B,MATCH($B75,Productos!$A:$A,0)),"")</f>
        <v>Leche entera pasteurizada</v>
      </c>
      <c r="D75" s="11" t="s">
        <v>394</v>
      </c>
      <c r="E75" s="11" t="str">
        <f aca="false">IFERROR(INDEX(Tiendas!$B:$B,MATCH($D75,Tiendas!$A:$A,0)),"")</f>
        <v>Olímpica Barranquilla</v>
      </c>
      <c r="F75" s="11" t="str">
        <f aca="false">IFERROR(INDEX(Tiendas!$E:$E,MATCH($D75,Tiendas!$A:$A,0)),"")</f>
        <v>Barranquilla</v>
      </c>
      <c r="G75" s="19" t="n">
        <v>5100</v>
      </c>
      <c r="H75" s="16" t="n">
        <v>114</v>
      </c>
      <c r="I75" s="16" t="n">
        <v>84</v>
      </c>
      <c r="J75" s="11" t="str">
        <f aca="false">IF(H75&lt;I75,"Reabastecer","OK")</f>
        <v>OK</v>
      </c>
      <c r="K75" s="19" t="n">
        <f aca="false">G75*H75</f>
        <v>581400</v>
      </c>
    </row>
    <row r="76" customFormat="false" ht="15" hidden="false" customHeight="false" outlineLevel="0" collapsed="false">
      <c r="A76" s="11" t="s">
        <v>507</v>
      </c>
      <c r="B76" s="10" t="s">
        <v>219</v>
      </c>
      <c r="C76" s="11" t="str">
        <f aca="false">IFERROR(INDEX(Productos!$B:$B,MATCH($B76,Productos!$A:$A,0)),"")</f>
        <v>Bocadillo veleño</v>
      </c>
      <c r="D76" s="11" t="s">
        <v>419</v>
      </c>
      <c r="E76" s="11" t="str">
        <f aca="false">IFERROR(INDEX(Tiendas!$B:$B,MATCH($D76,Tiendas!$A:$A,0)),"")</f>
        <v>Éxito Cartagena</v>
      </c>
      <c r="F76" s="11" t="str">
        <f aca="false">IFERROR(INDEX(Tiendas!$E:$E,MATCH($D76,Tiendas!$A:$A,0)),"")</f>
        <v>Cartagena</v>
      </c>
      <c r="G76" s="19" t="n">
        <v>8700</v>
      </c>
      <c r="H76" s="16" t="n">
        <v>69</v>
      </c>
      <c r="I76" s="16" t="n">
        <v>84</v>
      </c>
      <c r="J76" s="11" t="str">
        <f aca="false">IF(H76&lt;I76,"Reabastecer","OK")</f>
        <v>Reabastecer</v>
      </c>
      <c r="K76" s="19" t="n">
        <f aca="false">G76*H76</f>
        <v>600300</v>
      </c>
    </row>
    <row r="77" customFormat="false" ht="15" hidden="false" customHeight="false" outlineLevel="0" collapsed="false">
      <c r="A77" s="11" t="s">
        <v>508</v>
      </c>
      <c r="B77" s="10" t="s">
        <v>302</v>
      </c>
      <c r="C77" s="11" t="str">
        <f aca="false">IFERROR(INDEX(Productos!$B:$B,MATCH($B77,Productos!$A:$A,0)),"")</f>
        <v>Papel higiénico</v>
      </c>
      <c r="D77" s="11" t="s">
        <v>419</v>
      </c>
      <c r="E77" s="11" t="str">
        <f aca="false">IFERROR(INDEX(Tiendas!$B:$B,MATCH($D77,Tiendas!$A:$A,0)),"")</f>
        <v>Éxito Cartagena</v>
      </c>
      <c r="F77" s="11" t="str">
        <f aca="false">IFERROR(INDEX(Tiendas!$E:$E,MATCH($D77,Tiendas!$A:$A,0)),"")</f>
        <v>Cartagena</v>
      </c>
      <c r="G77" s="19" t="n">
        <v>26600</v>
      </c>
      <c r="H77" s="16" t="n">
        <v>68</v>
      </c>
      <c r="I77" s="16" t="n">
        <v>77</v>
      </c>
      <c r="J77" s="11" t="str">
        <f aca="false">IF(H77&lt;I77,"Reabastecer","OK")</f>
        <v>Reabastecer</v>
      </c>
      <c r="K77" s="19" t="n">
        <f aca="false">G77*H77</f>
        <v>1808800</v>
      </c>
    </row>
    <row r="78" customFormat="false" ht="15" hidden="false" customHeight="false" outlineLevel="0" collapsed="false">
      <c r="A78" s="11" t="s">
        <v>509</v>
      </c>
      <c r="B78" s="10" t="s">
        <v>78</v>
      </c>
      <c r="C78" s="11" t="str">
        <f aca="false">IFERROR(INDEX(Productos!$B:$B,MATCH($B78,Productos!$A:$A,0)),"")</f>
        <v>Plátano hartón</v>
      </c>
      <c r="D78" s="11" t="s">
        <v>390</v>
      </c>
      <c r="E78" s="11" t="str">
        <f aca="false">IFERROR(INDEX(Tiendas!$B:$B,MATCH($D78,Tiendas!$A:$A,0)),"")</f>
        <v>Carulla Bogotá</v>
      </c>
      <c r="F78" s="11" t="str">
        <f aca="false">IFERROR(INDEX(Tiendas!$E:$E,MATCH($D78,Tiendas!$A:$A,0)),"")</f>
        <v>Bogotá D.C.</v>
      </c>
      <c r="G78" s="19" t="n">
        <v>4500</v>
      </c>
      <c r="H78" s="16" t="n">
        <v>19</v>
      </c>
      <c r="I78" s="16" t="n">
        <v>11</v>
      </c>
      <c r="J78" s="11" t="str">
        <f aca="false">IF(H78&lt;I78,"Reabastecer","OK")</f>
        <v>OK</v>
      </c>
      <c r="K78" s="19" t="n">
        <f aca="false">G78*H78</f>
        <v>85500</v>
      </c>
    </row>
    <row r="79" customFormat="false" ht="15" hidden="false" customHeight="false" outlineLevel="0" collapsed="false">
      <c r="A79" s="11" t="s">
        <v>510</v>
      </c>
      <c r="B79" s="10" t="s">
        <v>60</v>
      </c>
      <c r="C79" s="11" t="str">
        <f aca="false">IFERROR(INDEX(Productos!$B:$B,MATCH($B79,Productos!$A:$A,0)),"")</f>
        <v>Aguacate Hass</v>
      </c>
      <c r="D79" s="11" t="s">
        <v>405</v>
      </c>
      <c r="E79" s="11" t="str">
        <f aca="false">IFERROR(INDEX(Tiendas!$B:$B,MATCH($D79,Tiendas!$A:$A,0)),"")</f>
        <v>Ara Medellín</v>
      </c>
      <c r="F79" s="11" t="str">
        <f aca="false">IFERROR(INDEX(Tiendas!$E:$E,MATCH($D79,Tiendas!$A:$A,0)),"")</f>
        <v>Medellín</v>
      </c>
      <c r="G79" s="19" t="n">
        <v>12800</v>
      </c>
      <c r="H79" s="16" t="n">
        <v>140</v>
      </c>
      <c r="I79" s="16" t="n">
        <v>89</v>
      </c>
      <c r="J79" s="11" t="str">
        <f aca="false">IF(H79&lt;I79,"Reabastecer","OK")</f>
        <v>OK</v>
      </c>
      <c r="K79" s="19" t="n">
        <f aca="false">G79*H79</f>
        <v>1792000</v>
      </c>
    </row>
    <row r="80" customFormat="false" ht="15" hidden="false" customHeight="false" outlineLevel="0" collapsed="false">
      <c r="A80" s="11" t="s">
        <v>511</v>
      </c>
      <c r="B80" s="10" t="s">
        <v>302</v>
      </c>
      <c r="C80" s="11" t="str">
        <f aca="false">IFERROR(INDEX(Productos!$B:$B,MATCH($B80,Productos!$A:$A,0)),"")</f>
        <v>Papel higiénico</v>
      </c>
      <c r="D80" s="11" t="s">
        <v>416</v>
      </c>
      <c r="E80" s="11" t="str">
        <f aca="false">IFERROR(INDEX(Tiendas!$B:$B,MATCH($D80,Tiendas!$A:$A,0)),"")</f>
        <v>Surtimax Bucaramanga</v>
      </c>
      <c r="F80" s="11" t="str">
        <f aca="false">IFERROR(INDEX(Tiendas!$E:$E,MATCH($D80,Tiendas!$A:$A,0)),"")</f>
        <v>Bucaramanga</v>
      </c>
      <c r="G80" s="19" t="n">
        <v>26300</v>
      </c>
      <c r="H80" s="16" t="n">
        <v>62</v>
      </c>
      <c r="I80" s="16" t="n">
        <v>36</v>
      </c>
      <c r="J80" s="11" t="str">
        <f aca="false">IF(H80&lt;I80,"Reabastecer","OK")</f>
        <v>OK</v>
      </c>
      <c r="K80" s="19" t="n">
        <f aca="false">G80*H80</f>
        <v>1630600</v>
      </c>
    </row>
    <row r="81" customFormat="false" ht="15" hidden="false" customHeight="false" outlineLevel="0" collapsed="false">
      <c r="A81" s="11" t="s">
        <v>512</v>
      </c>
      <c r="B81" s="10" t="s">
        <v>78</v>
      </c>
      <c r="C81" s="11" t="str">
        <f aca="false">IFERROR(INDEX(Productos!$B:$B,MATCH($B81,Productos!$A:$A,0)),"")</f>
        <v>Plátano hartón</v>
      </c>
      <c r="D81" s="11" t="s">
        <v>386</v>
      </c>
      <c r="E81" s="11" t="str">
        <f aca="false">IFERROR(INDEX(Tiendas!$B:$B,MATCH($D81,Tiendas!$A:$A,0)),"")</f>
        <v>Jumbo Bogotá</v>
      </c>
      <c r="F81" s="11" t="str">
        <f aca="false">IFERROR(INDEX(Tiendas!$E:$E,MATCH($D81,Tiendas!$A:$A,0)),"")</f>
        <v>Bogotá D.C.</v>
      </c>
      <c r="G81" s="19" t="n">
        <v>4400</v>
      </c>
      <c r="H81" s="16" t="n">
        <v>390</v>
      </c>
      <c r="I81" s="16" t="n">
        <v>239</v>
      </c>
      <c r="J81" s="11" t="str">
        <f aca="false">IF(H81&lt;I81,"Reabastecer","OK")</f>
        <v>OK</v>
      </c>
      <c r="K81" s="19" t="n">
        <f aca="false">G81*H81</f>
        <v>1716000</v>
      </c>
    </row>
    <row r="82" customFormat="false" ht="15" hidden="false" customHeight="false" outlineLevel="0" collapsed="false">
      <c r="A82" s="11" t="s">
        <v>513</v>
      </c>
      <c r="B82" s="10" t="s">
        <v>130</v>
      </c>
      <c r="C82" s="11" t="str">
        <f aca="false">IFERROR(INDEX(Productos!$B:$B,MATCH($B82,Productos!$A:$A,0)),"")</f>
        <v>Queso campesino</v>
      </c>
      <c r="D82" s="11" t="s">
        <v>416</v>
      </c>
      <c r="E82" s="11" t="str">
        <f aca="false">IFERROR(INDEX(Tiendas!$B:$B,MATCH($D82,Tiendas!$A:$A,0)),"")</f>
        <v>Surtimax Bucaramanga</v>
      </c>
      <c r="F82" s="11" t="str">
        <f aca="false">IFERROR(INDEX(Tiendas!$E:$E,MATCH($D82,Tiendas!$A:$A,0)),"")</f>
        <v>Bucaramanga</v>
      </c>
      <c r="G82" s="19" t="n">
        <v>17700</v>
      </c>
      <c r="H82" s="16" t="n">
        <v>37</v>
      </c>
      <c r="I82" s="16" t="n">
        <v>57</v>
      </c>
      <c r="J82" s="11" t="str">
        <f aca="false">IF(H82&lt;I82,"Reabastecer","OK")</f>
        <v>Reabastecer</v>
      </c>
      <c r="K82" s="19" t="n">
        <f aca="false">G82*H82</f>
        <v>654900</v>
      </c>
    </row>
    <row r="83" customFormat="false" ht="15" hidden="false" customHeight="false" outlineLevel="0" collapsed="false">
      <c r="A83" s="11" t="s">
        <v>514</v>
      </c>
      <c r="B83" s="10" t="s">
        <v>228</v>
      </c>
      <c r="C83" s="11" t="str">
        <f aca="false">IFERROR(INDEX(Productos!$B:$B,MATCH($B83,Productos!$A:$A,0)),"")</f>
        <v>Arequipe</v>
      </c>
      <c r="D83" s="11" t="s">
        <v>413</v>
      </c>
      <c r="E83" s="11" t="str">
        <f aca="false">IFERROR(INDEX(Tiendas!$B:$B,MATCH($D83,Tiendas!$A:$A,0)),"")</f>
        <v>Justo &amp; Bueno Bogotá</v>
      </c>
      <c r="F83" s="11" t="str">
        <f aca="false">IFERROR(INDEX(Tiendas!$E:$E,MATCH($D83,Tiendas!$A:$A,0)),"")</f>
        <v>Bogotá D.C.</v>
      </c>
      <c r="G83" s="19" t="n">
        <v>7500</v>
      </c>
      <c r="H83" s="16" t="n">
        <v>91</v>
      </c>
      <c r="I83" s="16" t="n">
        <v>36</v>
      </c>
      <c r="J83" s="11" t="str">
        <f aca="false">IF(H83&lt;I83,"Reabastecer","OK")</f>
        <v>OK</v>
      </c>
      <c r="K83" s="19" t="n">
        <f aca="false">G83*H83</f>
        <v>682500</v>
      </c>
    </row>
    <row r="84" customFormat="false" ht="15" hidden="false" customHeight="false" outlineLevel="0" collapsed="false">
      <c r="A84" s="11" t="s">
        <v>515</v>
      </c>
      <c r="B84" s="10" t="s">
        <v>124</v>
      </c>
      <c r="C84" s="11" t="str">
        <f aca="false">IFERROR(INDEX(Productos!$B:$B,MATCH($B84,Productos!$A:$A,0)),"")</f>
        <v>Yogurt entero</v>
      </c>
      <c r="D84" s="11" t="s">
        <v>405</v>
      </c>
      <c r="E84" s="11" t="str">
        <f aca="false">IFERROR(INDEX(Tiendas!$B:$B,MATCH($D84,Tiendas!$A:$A,0)),"")</f>
        <v>Ara Medellín</v>
      </c>
      <c r="F84" s="11" t="str">
        <f aca="false">IFERROR(INDEX(Tiendas!$E:$E,MATCH($D84,Tiendas!$A:$A,0)),"")</f>
        <v>Medellín</v>
      </c>
      <c r="G84" s="19" t="n">
        <v>9300</v>
      </c>
      <c r="H84" s="16" t="n">
        <v>24</v>
      </c>
      <c r="I84" s="16" t="n">
        <v>21</v>
      </c>
      <c r="J84" s="11" t="str">
        <f aca="false">IF(H84&lt;I84,"Reabastecer","OK")</f>
        <v>OK</v>
      </c>
      <c r="K84" s="19" t="n">
        <f aca="false">G84*H84</f>
        <v>223200</v>
      </c>
    </row>
    <row r="85" customFormat="false" ht="15" hidden="false" customHeight="false" outlineLevel="0" collapsed="false">
      <c r="A85" s="11" t="s">
        <v>516</v>
      </c>
      <c r="B85" s="10" t="s">
        <v>60</v>
      </c>
      <c r="C85" s="11" t="str">
        <f aca="false">IFERROR(INDEX(Productos!$B:$B,MATCH($B85,Productos!$A:$A,0)),"")</f>
        <v>Aguacate Hass</v>
      </c>
      <c r="D85" s="11" t="s">
        <v>419</v>
      </c>
      <c r="E85" s="11" t="str">
        <f aca="false">IFERROR(INDEX(Tiendas!$B:$B,MATCH($D85,Tiendas!$A:$A,0)),"")</f>
        <v>Éxito Cartagena</v>
      </c>
      <c r="F85" s="11" t="str">
        <f aca="false">IFERROR(INDEX(Tiendas!$E:$E,MATCH($D85,Tiendas!$A:$A,0)),"")</f>
        <v>Cartagena</v>
      </c>
      <c r="G85" s="19" t="n">
        <v>12900</v>
      </c>
      <c r="H85" s="16" t="n">
        <v>109</v>
      </c>
      <c r="I85" s="16" t="n">
        <v>70</v>
      </c>
      <c r="J85" s="11" t="str">
        <f aca="false">IF(H85&lt;I85,"Reabastecer","OK")</f>
        <v>OK</v>
      </c>
      <c r="K85" s="19" t="n">
        <f aca="false">G85*H85</f>
        <v>1406100</v>
      </c>
    </row>
    <row r="86" customFormat="false" ht="15" hidden="false" customHeight="false" outlineLevel="0" collapsed="false">
      <c r="A86" s="11" t="s">
        <v>517</v>
      </c>
      <c r="B86" s="10" t="s">
        <v>176</v>
      </c>
      <c r="C86" s="11" t="str">
        <f aca="false">IFERROR(INDEX(Productos!$B:$B,MATCH($B86,Productos!$A:$A,0)),"")</f>
        <v>Café tostado y molido</v>
      </c>
      <c r="D86" s="11" t="s">
        <v>400</v>
      </c>
      <c r="E86" s="11" t="str">
        <f aca="false">IFERROR(INDEX(Tiendas!$B:$B,MATCH($D86,Tiendas!$A:$A,0)),"")</f>
        <v>D1 Cali</v>
      </c>
      <c r="F86" s="11" t="str">
        <f aca="false">IFERROR(INDEX(Tiendas!$E:$E,MATCH($D86,Tiendas!$A:$A,0)),"")</f>
        <v>Cali</v>
      </c>
      <c r="G86" s="19" t="n">
        <v>31800</v>
      </c>
      <c r="H86" s="16" t="n">
        <v>84</v>
      </c>
      <c r="I86" s="16" t="n">
        <v>47</v>
      </c>
      <c r="J86" s="11" t="str">
        <f aca="false">IF(H86&lt;I86,"Reabastecer","OK")</f>
        <v>OK</v>
      </c>
      <c r="K86" s="19" t="n">
        <f aca="false">G86*H86</f>
        <v>2671200</v>
      </c>
    </row>
    <row r="87" customFormat="false" ht="15" hidden="false" customHeight="false" outlineLevel="0" collapsed="false">
      <c r="A87" s="11" t="s">
        <v>518</v>
      </c>
      <c r="B87" s="10" t="s">
        <v>48</v>
      </c>
      <c r="C87" s="11" t="str">
        <f aca="false">IFERROR(INDEX(Productos!$B:$B,MATCH($B87,Productos!$A:$A,0)),"")</f>
        <v>Banano premium</v>
      </c>
      <c r="D87" s="11" t="s">
        <v>390</v>
      </c>
      <c r="E87" s="11" t="str">
        <f aca="false">IFERROR(INDEX(Tiendas!$B:$B,MATCH($D87,Tiendas!$A:$A,0)),"")</f>
        <v>Carulla Bogotá</v>
      </c>
      <c r="F87" s="11" t="str">
        <f aca="false">IFERROR(INDEX(Tiendas!$E:$E,MATCH($D87,Tiendas!$A:$A,0)),"")</f>
        <v>Bogotá D.C.</v>
      </c>
      <c r="G87" s="19" t="n">
        <v>3800</v>
      </c>
      <c r="H87" s="16" t="n">
        <v>13</v>
      </c>
      <c r="I87" s="16" t="n">
        <v>29</v>
      </c>
      <c r="J87" s="11" t="str">
        <f aca="false">IF(H87&lt;I87,"Reabastecer","OK")</f>
        <v>Reabastecer</v>
      </c>
      <c r="K87" s="19" t="n">
        <f aca="false">G87*H87</f>
        <v>49400</v>
      </c>
    </row>
    <row r="88" customFormat="false" ht="15" hidden="false" customHeight="false" outlineLevel="0" collapsed="false">
      <c r="A88" s="11" t="s">
        <v>519</v>
      </c>
      <c r="B88" s="10" t="s">
        <v>104</v>
      </c>
      <c r="C88" s="11" t="str">
        <f aca="false">IFERROR(INDEX(Productos!$B:$B,MATCH($B88,Productos!$A:$A,0)),"")</f>
        <v>Cebolla cabezona blanca</v>
      </c>
      <c r="D88" s="11" t="s">
        <v>381</v>
      </c>
      <c r="E88" s="11" t="str">
        <f aca="false">IFERROR(INDEX(Tiendas!$B:$B,MATCH($D88,Tiendas!$A:$A,0)),"")</f>
        <v>Éxito Medellín</v>
      </c>
      <c r="F88" s="11" t="str">
        <f aca="false">IFERROR(INDEX(Tiendas!$E:$E,MATCH($D88,Tiendas!$A:$A,0)),"")</f>
        <v>Medellín</v>
      </c>
      <c r="G88" s="19" t="n">
        <v>3500</v>
      </c>
      <c r="H88" s="16" t="n">
        <v>165</v>
      </c>
      <c r="I88" s="16" t="n">
        <v>104</v>
      </c>
      <c r="J88" s="11" t="str">
        <f aca="false">IF(H88&lt;I88,"Reabastecer","OK")</f>
        <v>OK</v>
      </c>
      <c r="K88" s="19" t="n">
        <f aca="false">G88*H88</f>
        <v>577500</v>
      </c>
    </row>
    <row r="89" customFormat="false" ht="15" hidden="false" customHeight="false" outlineLevel="0" collapsed="false">
      <c r="A89" s="11" t="s">
        <v>520</v>
      </c>
      <c r="B89" s="10" t="s">
        <v>124</v>
      </c>
      <c r="C89" s="11" t="str">
        <f aca="false">IFERROR(INDEX(Productos!$B:$B,MATCH($B89,Productos!$A:$A,0)),"")</f>
        <v>Yogurt entero</v>
      </c>
      <c r="D89" s="11" t="s">
        <v>390</v>
      </c>
      <c r="E89" s="11" t="str">
        <f aca="false">IFERROR(INDEX(Tiendas!$B:$B,MATCH($D89,Tiendas!$A:$A,0)),"")</f>
        <v>Carulla Bogotá</v>
      </c>
      <c r="F89" s="11" t="str">
        <f aca="false">IFERROR(INDEX(Tiendas!$E:$E,MATCH($D89,Tiendas!$A:$A,0)),"")</f>
        <v>Bogotá D.C.</v>
      </c>
      <c r="G89" s="19" t="n">
        <v>9400</v>
      </c>
      <c r="H89" s="16" t="n">
        <v>39</v>
      </c>
      <c r="I89" s="16" t="n">
        <v>63</v>
      </c>
      <c r="J89" s="11" t="str">
        <f aca="false">IF(H89&lt;I89,"Reabastecer","OK")</f>
        <v>Reabastecer</v>
      </c>
      <c r="K89" s="19" t="n">
        <f aca="false">G89*H89</f>
        <v>366600</v>
      </c>
    </row>
    <row r="90" customFormat="false" ht="15" hidden="false" customHeight="false" outlineLevel="0" collapsed="false">
      <c r="A90" s="11" t="s">
        <v>521</v>
      </c>
      <c r="B90" s="10" t="s">
        <v>67</v>
      </c>
      <c r="C90" s="11" t="str">
        <f aca="false">IFERROR(INDEX(Productos!$B:$B,MATCH($B90,Productos!$A:$A,0)),"")</f>
        <v>Papa criolla lavada</v>
      </c>
      <c r="D90" s="11" t="s">
        <v>419</v>
      </c>
      <c r="E90" s="11" t="str">
        <f aca="false">IFERROR(INDEX(Tiendas!$B:$B,MATCH($D90,Tiendas!$A:$A,0)),"")</f>
        <v>Éxito Cartagena</v>
      </c>
      <c r="F90" s="11" t="str">
        <f aca="false">IFERROR(INDEX(Tiendas!$E:$E,MATCH($D90,Tiendas!$A:$A,0)),"")</f>
        <v>Cartagena</v>
      </c>
      <c r="G90" s="19" t="n">
        <v>4900</v>
      </c>
      <c r="H90" s="16" t="n">
        <v>44</v>
      </c>
      <c r="I90" s="16" t="n">
        <v>20</v>
      </c>
      <c r="J90" s="11" t="str">
        <f aca="false">IF(H90&lt;I90,"Reabastecer","OK")</f>
        <v>OK</v>
      </c>
      <c r="K90" s="19" t="n">
        <f aca="false">G90*H90</f>
        <v>215600</v>
      </c>
    </row>
    <row r="91" customFormat="false" ht="15" hidden="false" customHeight="false" outlineLevel="0" collapsed="false">
      <c r="A91" s="11" t="s">
        <v>522</v>
      </c>
      <c r="B91" s="10" t="s">
        <v>235</v>
      </c>
      <c r="C91" s="11" t="str">
        <f aca="false">IFERROR(INDEX(Productos!$B:$B,MATCH($B91,Productos!$A:$A,0)),"")</f>
        <v>Huevos AA</v>
      </c>
      <c r="D91" s="11" t="s">
        <v>381</v>
      </c>
      <c r="E91" s="11" t="str">
        <f aca="false">IFERROR(INDEX(Tiendas!$B:$B,MATCH($D91,Tiendas!$A:$A,0)),"")</f>
        <v>Éxito Medellín</v>
      </c>
      <c r="F91" s="11" t="str">
        <f aca="false">IFERROR(INDEX(Tiendas!$E:$E,MATCH($D91,Tiendas!$A:$A,0)),"")</f>
        <v>Medellín</v>
      </c>
      <c r="G91" s="19" t="n">
        <v>21500</v>
      </c>
      <c r="H91" s="16" t="n">
        <v>359</v>
      </c>
      <c r="I91" s="16" t="n">
        <v>184</v>
      </c>
      <c r="J91" s="11" t="str">
        <f aca="false">IF(H91&lt;I91,"Reabastecer","OK")</f>
        <v>OK</v>
      </c>
      <c r="K91" s="19" t="n">
        <f aca="false">G91*H91</f>
        <v>7718500</v>
      </c>
    </row>
  </sheetData>
  <autoFilter ref="A1:K91"/>
  <conditionalFormatting sqref="J2:J91">
    <cfRule type="cellIs" priority="2" operator="equal" aboveAverage="0" equalAverage="0" bottom="0" percent="0" rank="0" text="" dxfId="8">
      <formula>"Reabastecer"</formula>
    </cfRule>
    <cfRule type="cellIs" priority="3" operator="equal" aboveAverage="0" equalAverage="0" bottom="0" percent="0" rank="0" text="" dxfId="9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1" min="10" style="0" width="8"/>
  </cols>
  <sheetData>
    <row r="1" customFormat="false" ht="33.75" hidden="false" customHeight="true" outlineLevel="0" collapsed="false">
      <c r="A1" s="9" t="s">
        <v>427</v>
      </c>
      <c r="B1" s="9" t="s">
        <v>523</v>
      </c>
      <c r="C1" s="9" t="s">
        <v>524</v>
      </c>
      <c r="D1" s="9" t="s">
        <v>525</v>
      </c>
      <c r="E1" s="9" t="s">
        <v>526</v>
      </c>
      <c r="F1" s="9" t="s">
        <v>527</v>
      </c>
      <c r="G1" s="9" t="s">
        <v>528</v>
      </c>
      <c r="H1" s="13" t="s">
        <v>529</v>
      </c>
      <c r="I1" s="9" t="s">
        <v>530</v>
      </c>
      <c r="J1" s="13" t="s">
        <v>531</v>
      </c>
      <c r="K1" s="9" t="s">
        <v>532</v>
      </c>
    </row>
    <row r="2" customFormat="false" ht="23.85" hidden="false" customHeight="false" outlineLevel="0" collapsed="false">
      <c r="A2" s="11" t="s">
        <v>533</v>
      </c>
      <c r="B2" s="11" t="s">
        <v>28</v>
      </c>
      <c r="C2" s="20" t="s">
        <v>534</v>
      </c>
      <c r="D2" s="12" t="s">
        <v>535</v>
      </c>
      <c r="E2" s="20" t="s">
        <v>536</v>
      </c>
      <c r="F2" s="12" t="s">
        <v>32</v>
      </c>
      <c r="G2" s="10" t="s">
        <v>78</v>
      </c>
      <c r="H2" s="11" t="str">
        <f aca="false">IF(G2="","",IFERROR(INDEX(Productos!$B:$B,MATCH(G2,Productos!$A:$A,0)),""))</f>
        <v>Plátano hartón</v>
      </c>
      <c r="I2" s="11" t="s">
        <v>537</v>
      </c>
      <c r="J2" s="12" t="n">
        <f aca="false">IF(F2="Fácil",10,IF(F2="Media",20,30))</f>
        <v>10</v>
      </c>
      <c r="K2" s="12" t="s">
        <v>330</v>
      </c>
    </row>
    <row r="3" customFormat="false" ht="15" hidden="false" customHeight="false" outlineLevel="0" collapsed="false">
      <c r="A3" s="11" t="s">
        <v>538</v>
      </c>
      <c r="B3" s="11" t="s">
        <v>27</v>
      </c>
      <c r="C3" s="20" t="s">
        <v>539</v>
      </c>
      <c r="D3" s="12" t="s">
        <v>535</v>
      </c>
      <c r="E3" s="20" t="s">
        <v>540</v>
      </c>
      <c r="F3" s="12" t="s">
        <v>33</v>
      </c>
      <c r="G3" s="10" t="s">
        <v>228</v>
      </c>
      <c r="H3" s="11" t="str">
        <f aca="false">IF(G3="","",IFERROR(INDEX(Productos!$B:$B,MATCH(G3,Productos!$A:$A,0)),""))</f>
        <v>Arequipe</v>
      </c>
      <c r="I3" s="11" t="s">
        <v>541</v>
      </c>
      <c r="J3" s="12" t="n">
        <f aca="false">IF(F3="Fácil",10,IF(F3="Media",20,30))</f>
        <v>20</v>
      </c>
      <c r="K3" s="12" t="s">
        <v>330</v>
      </c>
    </row>
    <row r="4" customFormat="false" ht="23.85" hidden="false" customHeight="false" outlineLevel="0" collapsed="false">
      <c r="A4" s="11" t="s">
        <v>542</v>
      </c>
      <c r="B4" s="11" t="s">
        <v>24</v>
      </c>
      <c r="C4" s="20" t="s">
        <v>543</v>
      </c>
      <c r="D4" s="12" t="s">
        <v>544</v>
      </c>
      <c r="E4" s="20" t="s">
        <v>545</v>
      </c>
      <c r="F4" s="12" t="s">
        <v>32</v>
      </c>
      <c r="G4" s="10" t="s">
        <v>130</v>
      </c>
      <c r="H4" s="11" t="str">
        <f aca="false">IF(G4="","",IFERROR(INDEX(Productos!$B:$B,MATCH(G4,Productos!$A:$A,0)),""))</f>
        <v>Queso campesino</v>
      </c>
      <c r="I4" s="11" t="s">
        <v>546</v>
      </c>
      <c r="J4" s="12" t="n">
        <f aca="false">IF(F4="Fácil",10,IF(F4="Media",20,30))</f>
        <v>10</v>
      </c>
      <c r="K4" s="12" t="s">
        <v>330</v>
      </c>
    </row>
    <row r="5" customFormat="false" ht="23.85" hidden="false" customHeight="false" outlineLevel="0" collapsed="false">
      <c r="A5" s="11" t="s">
        <v>547</v>
      </c>
      <c r="B5" s="11" t="s">
        <v>24</v>
      </c>
      <c r="C5" s="20" t="s">
        <v>548</v>
      </c>
      <c r="D5" s="12" t="s">
        <v>535</v>
      </c>
      <c r="E5" s="20" t="s">
        <v>549</v>
      </c>
      <c r="F5" s="12" t="s">
        <v>32</v>
      </c>
      <c r="G5" s="10" t="s">
        <v>302</v>
      </c>
      <c r="H5" s="11" t="str">
        <f aca="false">IF(G5="","",IFERROR(INDEX(Productos!$B:$B,MATCH(G5,Productos!$A:$A,0)),""))</f>
        <v>Papel higiénico</v>
      </c>
      <c r="I5" s="11" t="s">
        <v>550</v>
      </c>
      <c r="J5" s="12" t="n">
        <f aca="false">IF(F5="Fácil",10,IF(F5="Media",20,30))</f>
        <v>10</v>
      </c>
      <c r="K5" s="12" t="s">
        <v>330</v>
      </c>
    </row>
    <row r="6" customFormat="false" ht="23.85" hidden="false" customHeight="false" outlineLevel="0" collapsed="false">
      <c r="A6" s="11" t="s">
        <v>551</v>
      </c>
      <c r="B6" s="11" t="s">
        <v>28</v>
      </c>
      <c r="C6" s="20" t="s">
        <v>552</v>
      </c>
      <c r="D6" s="12" t="s">
        <v>544</v>
      </c>
      <c r="E6" s="20" t="s">
        <v>553</v>
      </c>
      <c r="F6" s="12" t="s">
        <v>32</v>
      </c>
      <c r="G6" s="10" t="s">
        <v>244</v>
      </c>
      <c r="H6" s="11" t="str">
        <f aca="false">IF(G6="","",IFERROR(INDEX(Productos!$B:$B,MATCH(G6,Productos!$A:$A,0)),""))</f>
        <v>Gaseosa Colombiana</v>
      </c>
      <c r="I6" s="11" t="s">
        <v>554</v>
      </c>
      <c r="J6" s="12" t="n">
        <f aca="false">IF(F6="Fácil",10,IF(F6="Media",20,30))</f>
        <v>10</v>
      </c>
      <c r="K6" s="12" t="s">
        <v>330</v>
      </c>
    </row>
    <row r="7" customFormat="false" ht="15" hidden="false" customHeight="false" outlineLevel="0" collapsed="false">
      <c r="A7" s="11" t="s">
        <v>555</v>
      </c>
      <c r="B7" s="11" t="s">
        <v>30</v>
      </c>
      <c r="C7" s="20" t="s">
        <v>556</v>
      </c>
      <c r="D7" s="12" t="s">
        <v>544</v>
      </c>
      <c r="E7" s="20" t="s">
        <v>557</v>
      </c>
      <c r="F7" s="12" t="s">
        <v>33</v>
      </c>
      <c r="G7" s="10"/>
      <c r="H7" s="11" t="str">
        <f aca="false">IF(G7="","",IFERROR(INDEX(Productos!$B:$B,MATCH(G7,Productos!$A:$A,0)),""))</f>
        <v/>
      </c>
      <c r="I7" s="11" t="s">
        <v>558</v>
      </c>
      <c r="J7" s="12" t="n">
        <f aca="false">IF(F7="Fácil",10,IF(F7="Media",20,30))</f>
        <v>20</v>
      </c>
      <c r="K7" s="12" t="s">
        <v>330</v>
      </c>
    </row>
    <row r="8" customFormat="false" ht="15" hidden="false" customHeight="false" outlineLevel="0" collapsed="false">
      <c r="A8" s="11" t="s">
        <v>559</v>
      </c>
      <c r="B8" s="11" t="s">
        <v>25</v>
      </c>
      <c r="C8" s="20" t="s">
        <v>560</v>
      </c>
      <c r="D8" s="12" t="s">
        <v>535</v>
      </c>
      <c r="E8" s="20" t="s">
        <v>561</v>
      </c>
      <c r="F8" s="12" t="s">
        <v>34</v>
      </c>
      <c r="G8" s="10" t="s">
        <v>168</v>
      </c>
      <c r="H8" s="11" t="str">
        <f aca="false">IF(G8="","",IFERROR(INDEX(Productos!$B:$B,MATCH(G8,Productos!$A:$A,0)),""))</f>
        <v>Panela cuadrada</v>
      </c>
      <c r="I8" s="11" t="s">
        <v>562</v>
      </c>
      <c r="J8" s="12" t="n">
        <f aca="false">IF(F8="Fácil",10,IF(F8="Media",20,30))</f>
        <v>30</v>
      </c>
      <c r="K8" s="12" t="s">
        <v>330</v>
      </c>
    </row>
    <row r="9" customFormat="false" ht="15" hidden="false" customHeight="false" outlineLevel="0" collapsed="false">
      <c r="A9" s="11" t="s">
        <v>563</v>
      </c>
      <c r="B9" s="11" t="s">
        <v>25</v>
      </c>
      <c r="C9" s="20" t="s">
        <v>564</v>
      </c>
      <c r="D9" s="12" t="s">
        <v>535</v>
      </c>
      <c r="E9" s="20" t="s">
        <v>565</v>
      </c>
      <c r="F9" s="12" t="s">
        <v>34</v>
      </c>
      <c r="G9" s="10" t="s">
        <v>48</v>
      </c>
      <c r="H9" s="11" t="str">
        <f aca="false">IF(G9="","",IFERROR(INDEX(Productos!$B:$B,MATCH(G9,Productos!$A:$A,0)),""))</f>
        <v>Banano premium</v>
      </c>
      <c r="I9" s="11" t="s">
        <v>566</v>
      </c>
      <c r="J9" s="12" t="n">
        <f aca="false">IF(F9="Fácil",10,IF(F9="Media",20,30))</f>
        <v>30</v>
      </c>
      <c r="K9" s="12" t="s">
        <v>330</v>
      </c>
    </row>
    <row r="10" customFormat="false" ht="15" hidden="false" customHeight="false" outlineLevel="0" collapsed="false">
      <c r="A10" s="11" t="s">
        <v>567</v>
      </c>
      <c r="B10" s="11" t="s">
        <v>30</v>
      </c>
      <c r="C10" s="20" t="s">
        <v>568</v>
      </c>
      <c r="D10" s="12" t="s">
        <v>544</v>
      </c>
      <c r="E10" s="20" t="s">
        <v>569</v>
      </c>
      <c r="F10" s="12" t="s">
        <v>32</v>
      </c>
      <c r="G10" s="10"/>
      <c r="H10" s="11" t="str">
        <f aca="false">IF(G10="","",IFERROR(INDEX(Productos!$B:$B,MATCH(G10,Productos!$A:$A,0)),""))</f>
        <v/>
      </c>
      <c r="I10" s="11" t="s">
        <v>558</v>
      </c>
      <c r="J10" s="12" t="n">
        <f aca="false">IF(F10="Fácil",10,IF(F10="Media",20,30))</f>
        <v>10</v>
      </c>
      <c r="K10" s="12" t="s">
        <v>330</v>
      </c>
    </row>
    <row r="11" customFormat="false" ht="15" hidden="false" customHeight="false" outlineLevel="0" collapsed="false">
      <c r="A11" s="11" t="s">
        <v>570</v>
      </c>
      <c r="B11" s="11" t="s">
        <v>29</v>
      </c>
      <c r="C11" s="20" t="s">
        <v>571</v>
      </c>
      <c r="D11" s="12" t="s">
        <v>544</v>
      </c>
      <c r="E11" s="20" t="s">
        <v>572</v>
      </c>
      <c r="F11" s="12" t="s">
        <v>33</v>
      </c>
      <c r="G11" s="10"/>
      <c r="H11" s="11" t="str">
        <f aca="false">IF(G11="","",IFERROR(INDEX(Productos!$B:$B,MATCH(G11,Productos!$A:$A,0)),""))</f>
        <v/>
      </c>
      <c r="I11" s="11" t="s">
        <v>573</v>
      </c>
      <c r="J11" s="12" t="n">
        <f aca="false">IF(F11="Fácil",10,IF(F11="Media",20,30))</f>
        <v>20</v>
      </c>
      <c r="K11" s="12" t="s">
        <v>330</v>
      </c>
    </row>
    <row r="12" customFormat="false" ht="23.85" hidden="false" customHeight="false" outlineLevel="0" collapsed="false">
      <c r="A12" s="11" t="s">
        <v>574</v>
      </c>
      <c r="B12" s="11" t="s">
        <v>30</v>
      </c>
      <c r="C12" s="20" t="s">
        <v>575</v>
      </c>
      <c r="D12" s="12" t="s">
        <v>544</v>
      </c>
      <c r="E12" s="20" t="s">
        <v>576</v>
      </c>
      <c r="F12" s="12" t="s">
        <v>33</v>
      </c>
      <c r="G12" s="10"/>
      <c r="H12" s="11" t="str">
        <f aca="false">IF(G12="","",IFERROR(INDEX(Productos!$B:$B,MATCH(G12,Productos!$A:$A,0)),""))</f>
        <v/>
      </c>
      <c r="I12" s="11" t="s">
        <v>558</v>
      </c>
      <c r="J12" s="12" t="n">
        <f aca="false">IF(F12="Fácil",10,IF(F12="Media",20,30))</f>
        <v>20</v>
      </c>
      <c r="K12" s="12" t="s">
        <v>330</v>
      </c>
    </row>
    <row r="13" customFormat="false" ht="15" hidden="false" customHeight="false" outlineLevel="0" collapsed="false">
      <c r="A13" s="11" t="s">
        <v>577</v>
      </c>
      <c r="B13" s="11" t="s">
        <v>30</v>
      </c>
      <c r="C13" s="20" t="s">
        <v>578</v>
      </c>
      <c r="D13" s="12" t="s">
        <v>535</v>
      </c>
      <c r="E13" s="20" t="s">
        <v>579</v>
      </c>
      <c r="F13" s="12" t="s">
        <v>32</v>
      </c>
      <c r="G13" s="10"/>
      <c r="H13" s="11" t="str">
        <f aca="false">IF(G13="","",IFERROR(INDEX(Productos!$B:$B,MATCH(G13,Productos!$A:$A,0)),""))</f>
        <v/>
      </c>
      <c r="I13" s="11" t="s">
        <v>558</v>
      </c>
      <c r="J13" s="12" t="n">
        <f aca="false">IF(F13="Fácil",10,IF(F13="Media",20,30))</f>
        <v>10</v>
      </c>
      <c r="K13" s="12" t="s">
        <v>330</v>
      </c>
    </row>
    <row r="14" customFormat="false" ht="23.85" hidden="false" customHeight="false" outlineLevel="0" collapsed="false">
      <c r="A14" s="11" t="s">
        <v>580</v>
      </c>
      <c r="B14" s="11" t="s">
        <v>30</v>
      </c>
      <c r="C14" s="20" t="s">
        <v>581</v>
      </c>
      <c r="D14" s="12" t="s">
        <v>544</v>
      </c>
      <c r="E14" s="20" t="s">
        <v>582</v>
      </c>
      <c r="F14" s="12" t="s">
        <v>34</v>
      </c>
      <c r="G14" s="10"/>
      <c r="H14" s="11" t="str">
        <f aca="false">IF(G14="","",IFERROR(INDEX(Productos!$B:$B,MATCH(G14,Productos!$A:$A,0)),""))</f>
        <v/>
      </c>
      <c r="I14" s="11" t="s">
        <v>558</v>
      </c>
      <c r="J14" s="12" t="n">
        <f aca="false">IF(F14="Fácil",10,IF(F14="Media",20,30))</f>
        <v>30</v>
      </c>
      <c r="K14" s="12" t="s">
        <v>330</v>
      </c>
    </row>
    <row r="15" customFormat="false" ht="23.85" hidden="false" customHeight="false" outlineLevel="0" collapsed="false">
      <c r="A15" s="11" t="s">
        <v>583</v>
      </c>
      <c r="B15" s="11" t="s">
        <v>30</v>
      </c>
      <c r="C15" s="20" t="s">
        <v>584</v>
      </c>
      <c r="D15" s="12" t="s">
        <v>535</v>
      </c>
      <c r="E15" s="20" t="s">
        <v>585</v>
      </c>
      <c r="F15" s="12" t="s">
        <v>33</v>
      </c>
      <c r="G15" s="10"/>
      <c r="H15" s="11" t="str">
        <f aca="false">IF(G15="","",IFERROR(INDEX(Productos!$B:$B,MATCH(G15,Productos!$A:$A,0)),""))</f>
        <v/>
      </c>
      <c r="I15" s="11" t="s">
        <v>558</v>
      </c>
      <c r="J15" s="12" t="n">
        <f aca="false">IF(F15="Fácil",10,IF(F15="Media",20,30))</f>
        <v>20</v>
      </c>
      <c r="K15" s="12" t="s">
        <v>330</v>
      </c>
    </row>
    <row r="16" customFormat="false" ht="15" hidden="false" customHeight="false" outlineLevel="0" collapsed="false">
      <c r="A16" s="11" t="s">
        <v>586</v>
      </c>
      <c r="B16" s="11" t="s">
        <v>28</v>
      </c>
      <c r="C16" s="20" t="s">
        <v>587</v>
      </c>
      <c r="D16" s="12" t="s">
        <v>544</v>
      </c>
      <c r="E16" s="20" t="s">
        <v>588</v>
      </c>
      <c r="F16" s="12" t="s">
        <v>32</v>
      </c>
      <c r="G16" s="10" t="s">
        <v>194</v>
      </c>
      <c r="H16" s="11" t="str">
        <f aca="false">IF(G16="","",IFERROR(INDEX(Productos!$B:$B,MATCH(G16,Productos!$A:$A,0)),""))</f>
        <v>Chocolate de mesa</v>
      </c>
      <c r="I16" s="11" t="s">
        <v>554</v>
      </c>
      <c r="J16" s="12" t="n">
        <f aca="false">IF(F16="Fácil",10,IF(F16="Media",20,30))</f>
        <v>10</v>
      </c>
      <c r="K16" s="12" t="s">
        <v>330</v>
      </c>
    </row>
    <row r="17" customFormat="false" ht="23.85" hidden="false" customHeight="false" outlineLevel="0" collapsed="false">
      <c r="A17" s="11" t="s">
        <v>589</v>
      </c>
      <c r="B17" s="11" t="s">
        <v>24</v>
      </c>
      <c r="C17" s="20" t="s">
        <v>590</v>
      </c>
      <c r="D17" s="12" t="s">
        <v>544</v>
      </c>
      <c r="E17" s="20" t="s">
        <v>591</v>
      </c>
      <c r="F17" s="12" t="s">
        <v>32</v>
      </c>
      <c r="G17" s="10" t="s">
        <v>113</v>
      </c>
      <c r="H17" s="11" t="str">
        <f aca="false">IF(G17="","",IFERROR(INDEX(Productos!$B:$B,MATCH(G17,Productos!$A:$A,0)),""))</f>
        <v>Leche entera pasteurizada</v>
      </c>
      <c r="I17" s="11" t="s">
        <v>546</v>
      </c>
      <c r="J17" s="12" t="n">
        <f aca="false">IF(F17="Fácil",10,IF(F17="Media",20,30))</f>
        <v>10</v>
      </c>
      <c r="K17" s="12" t="s">
        <v>330</v>
      </c>
    </row>
    <row r="18" customFormat="false" ht="23.85" hidden="false" customHeight="false" outlineLevel="0" collapsed="false">
      <c r="A18" s="11" t="s">
        <v>592</v>
      </c>
      <c r="B18" s="11" t="s">
        <v>30</v>
      </c>
      <c r="C18" s="20" t="s">
        <v>593</v>
      </c>
      <c r="D18" s="12" t="s">
        <v>535</v>
      </c>
      <c r="E18" s="20" t="s">
        <v>594</v>
      </c>
      <c r="F18" s="12" t="s">
        <v>34</v>
      </c>
      <c r="G18" s="10"/>
      <c r="H18" s="11" t="str">
        <f aca="false">IF(G18="","",IFERROR(INDEX(Productos!$B:$B,MATCH(G18,Productos!$A:$A,0)),""))</f>
        <v/>
      </c>
      <c r="I18" s="11" t="s">
        <v>558</v>
      </c>
      <c r="J18" s="12" t="n">
        <f aca="false">IF(F18="Fácil",10,IF(F18="Media",20,30))</f>
        <v>30</v>
      </c>
      <c r="K18" s="12" t="s">
        <v>330</v>
      </c>
    </row>
    <row r="19" customFormat="false" ht="15" hidden="false" customHeight="false" outlineLevel="0" collapsed="false">
      <c r="A19" s="11" t="s">
        <v>595</v>
      </c>
      <c r="B19" s="11" t="s">
        <v>30</v>
      </c>
      <c r="C19" s="20" t="s">
        <v>596</v>
      </c>
      <c r="D19" s="12" t="s">
        <v>544</v>
      </c>
      <c r="E19" s="20" t="s">
        <v>597</v>
      </c>
      <c r="F19" s="12" t="s">
        <v>32</v>
      </c>
      <c r="G19" s="10"/>
      <c r="H19" s="11" t="str">
        <f aca="false">IF(G19="","",IFERROR(INDEX(Productos!$B:$B,MATCH(G19,Productos!$A:$A,0)),""))</f>
        <v/>
      </c>
      <c r="I19" s="11" t="s">
        <v>558</v>
      </c>
      <c r="J19" s="12" t="n">
        <f aca="false">IF(F19="Fácil",10,IF(F19="Media",20,30))</f>
        <v>10</v>
      </c>
      <c r="K19" s="12" t="s">
        <v>330</v>
      </c>
    </row>
    <row r="20" customFormat="false" ht="15" hidden="false" customHeight="false" outlineLevel="0" collapsed="false">
      <c r="A20" s="11" t="s">
        <v>598</v>
      </c>
      <c r="B20" s="11" t="s">
        <v>25</v>
      </c>
      <c r="C20" s="20" t="s">
        <v>599</v>
      </c>
      <c r="D20" s="12" t="s">
        <v>535</v>
      </c>
      <c r="E20" s="20" t="s">
        <v>600</v>
      </c>
      <c r="F20" s="12" t="s">
        <v>34</v>
      </c>
      <c r="G20" s="10" t="s">
        <v>235</v>
      </c>
      <c r="H20" s="11" t="str">
        <f aca="false">IF(G20="","",IFERROR(INDEX(Productos!$B:$B,MATCH(G20,Productos!$A:$A,0)),""))</f>
        <v>Huevos AA</v>
      </c>
      <c r="I20" s="11" t="s">
        <v>562</v>
      </c>
      <c r="J20" s="12" t="n">
        <f aca="false">IF(F20="Fácil",10,IF(F20="Media",20,30))</f>
        <v>30</v>
      </c>
      <c r="K20" s="12" t="s">
        <v>330</v>
      </c>
    </row>
    <row r="21" customFormat="false" ht="23.85" hidden="false" customHeight="false" outlineLevel="0" collapsed="false">
      <c r="A21" s="11" t="s">
        <v>601</v>
      </c>
      <c r="B21" s="11" t="s">
        <v>30</v>
      </c>
      <c r="C21" s="20" t="s">
        <v>602</v>
      </c>
      <c r="D21" s="12" t="s">
        <v>544</v>
      </c>
      <c r="E21" s="20" t="s">
        <v>603</v>
      </c>
      <c r="F21" s="12" t="s">
        <v>32</v>
      </c>
      <c r="G21" s="10"/>
      <c r="H21" s="11" t="str">
        <f aca="false">IF(G21="","",IFERROR(INDEX(Productos!$B:$B,MATCH(G21,Productos!$A:$A,0)),""))</f>
        <v/>
      </c>
      <c r="I21" s="11" t="s">
        <v>558</v>
      </c>
      <c r="J21" s="12" t="n">
        <f aca="false">IF(F21="Fácil",10,IF(F21="Media",20,30))</f>
        <v>10</v>
      </c>
      <c r="K21" s="12" t="s">
        <v>330</v>
      </c>
    </row>
    <row r="22" customFormat="false" ht="15" hidden="false" customHeight="false" outlineLevel="0" collapsed="false">
      <c r="A22" s="11" t="s">
        <v>604</v>
      </c>
      <c r="B22" s="11" t="s">
        <v>25</v>
      </c>
      <c r="C22" s="20" t="s">
        <v>605</v>
      </c>
      <c r="D22" s="12" t="s">
        <v>544</v>
      </c>
      <c r="E22" s="20" t="s">
        <v>606</v>
      </c>
      <c r="F22" s="12" t="s">
        <v>34</v>
      </c>
      <c r="G22" s="10" t="s">
        <v>60</v>
      </c>
      <c r="H22" s="11" t="str">
        <f aca="false">IF(G22="","",IFERROR(INDEX(Productos!$B:$B,MATCH(G22,Productos!$A:$A,0)),""))</f>
        <v>Aguacate Hass</v>
      </c>
      <c r="I22" s="11" t="s">
        <v>562</v>
      </c>
      <c r="J22" s="12" t="n">
        <f aca="false">IF(F22="Fácil",10,IF(F22="Media",20,30))</f>
        <v>30</v>
      </c>
      <c r="K22" s="12" t="s">
        <v>330</v>
      </c>
    </row>
    <row r="23" customFormat="false" ht="23.85" hidden="false" customHeight="false" outlineLevel="0" collapsed="false">
      <c r="A23" s="11" t="s">
        <v>607</v>
      </c>
      <c r="B23" s="11" t="s">
        <v>24</v>
      </c>
      <c r="C23" s="20" t="s">
        <v>608</v>
      </c>
      <c r="D23" s="12" t="s">
        <v>535</v>
      </c>
      <c r="E23" s="20" t="s">
        <v>609</v>
      </c>
      <c r="F23" s="12" t="s">
        <v>32</v>
      </c>
      <c r="G23" s="10" t="s">
        <v>244</v>
      </c>
      <c r="H23" s="11" t="str">
        <f aca="false">IF(G23="","",IFERROR(INDEX(Productos!$B:$B,MATCH(G23,Productos!$A:$A,0)),""))</f>
        <v>Gaseosa Colombiana</v>
      </c>
      <c r="I23" s="11" t="s">
        <v>550</v>
      </c>
      <c r="J23" s="12" t="n">
        <f aca="false">IF(F23="Fácil",10,IF(F23="Media",20,30))</f>
        <v>10</v>
      </c>
      <c r="K23" s="12" t="s">
        <v>330</v>
      </c>
    </row>
    <row r="24" customFormat="false" ht="15" hidden="false" customHeight="false" outlineLevel="0" collapsed="false">
      <c r="A24" s="11" t="s">
        <v>610</v>
      </c>
      <c r="B24" s="11" t="s">
        <v>26</v>
      </c>
      <c r="C24" s="20" t="s">
        <v>611</v>
      </c>
      <c r="D24" s="12" t="s">
        <v>544</v>
      </c>
      <c r="E24" s="20" t="s">
        <v>612</v>
      </c>
      <c r="F24" s="12" t="s">
        <v>33</v>
      </c>
      <c r="G24" s="10" t="s">
        <v>83</v>
      </c>
      <c r="H24" s="11" t="str">
        <f aca="false">IF(G24="","",IFERROR(INDEX(Productos!$B:$B,MATCH(G24,Productos!$A:$A,0)),""))</f>
        <v>Uchuva con capacho</v>
      </c>
      <c r="I24" s="11" t="s">
        <v>613</v>
      </c>
      <c r="J24" s="12" t="n">
        <f aca="false">IF(F24="Fácil",10,IF(F24="Media",20,30))</f>
        <v>20</v>
      </c>
      <c r="K24" s="12" t="s">
        <v>330</v>
      </c>
    </row>
    <row r="25" customFormat="false" ht="23.85" hidden="false" customHeight="false" outlineLevel="0" collapsed="false">
      <c r="A25" s="11" t="s">
        <v>614</v>
      </c>
      <c r="B25" s="11" t="s">
        <v>28</v>
      </c>
      <c r="C25" s="20" t="s">
        <v>615</v>
      </c>
      <c r="D25" s="12" t="s">
        <v>535</v>
      </c>
      <c r="E25" s="20" t="s">
        <v>616</v>
      </c>
      <c r="F25" s="12" t="s">
        <v>32</v>
      </c>
      <c r="G25" s="10" t="s">
        <v>113</v>
      </c>
      <c r="H25" s="11" t="str">
        <f aca="false">IF(G25="","",IFERROR(INDEX(Productos!$B:$B,MATCH(G25,Productos!$A:$A,0)),""))</f>
        <v>Leche entera pasteurizada</v>
      </c>
      <c r="I25" s="11" t="s">
        <v>554</v>
      </c>
      <c r="J25" s="12" t="n">
        <f aca="false">IF(F25="Fácil",10,IF(F25="Media",20,30))</f>
        <v>10</v>
      </c>
      <c r="K25" s="12" t="s">
        <v>330</v>
      </c>
    </row>
    <row r="26" customFormat="false" ht="23.85" hidden="false" customHeight="false" outlineLevel="0" collapsed="false">
      <c r="A26" s="11" t="s">
        <v>617</v>
      </c>
      <c r="B26" s="11" t="s">
        <v>29</v>
      </c>
      <c r="C26" s="20" t="s">
        <v>618</v>
      </c>
      <c r="D26" s="12" t="s">
        <v>544</v>
      </c>
      <c r="E26" s="20" t="s">
        <v>619</v>
      </c>
      <c r="F26" s="12" t="s">
        <v>33</v>
      </c>
      <c r="G26" s="10" t="s">
        <v>124</v>
      </c>
      <c r="H26" s="11" t="str">
        <f aca="false">IF(G26="","",IFERROR(INDEX(Productos!$B:$B,MATCH(G26,Productos!$A:$A,0)),""))</f>
        <v>Yogurt entero</v>
      </c>
      <c r="I26" s="11" t="s">
        <v>620</v>
      </c>
      <c r="J26" s="12" t="n">
        <f aca="false">IF(F26="Fácil",10,IF(F26="Media",20,30))</f>
        <v>20</v>
      </c>
      <c r="K26" s="12" t="s">
        <v>330</v>
      </c>
    </row>
    <row r="27" customFormat="false" ht="15" hidden="false" customHeight="false" outlineLevel="0" collapsed="false">
      <c r="A27" s="11" t="s">
        <v>621</v>
      </c>
      <c r="B27" s="11" t="s">
        <v>29</v>
      </c>
      <c r="C27" s="20" t="s">
        <v>622</v>
      </c>
      <c r="D27" s="12" t="s">
        <v>544</v>
      </c>
      <c r="E27" s="20" t="s">
        <v>623</v>
      </c>
      <c r="F27" s="12" t="s">
        <v>32</v>
      </c>
      <c r="G27" s="10"/>
      <c r="H27" s="11" t="str">
        <f aca="false">IF(G27="","",IFERROR(INDEX(Productos!$B:$B,MATCH(G27,Productos!$A:$A,0)),""))</f>
        <v/>
      </c>
      <c r="I27" s="11" t="s">
        <v>624</v>
      </c>
      <c r="J27" s="12" t="n">
        <f aca="false">IF(F27="Fácil",10,IF(F27="Media",20,30))</f>
        <v>10</v>
      </c>
      <c r="K27" s="12" t="s">
        <v>330</v>
      </c>
    </row>
    <row r="28" customFormat="false" ht="23.85" hidden="false" customHeight="false" outlineLevel="0" collapsed="false">
      <c r="A28" s="11" t="s">
        <v>625</v>
      </c>
      <c r="B28" s="11" t="s">
        <v>28</v>
      </c>
      <c r="C28" s="20" t="s">
        <v>626</v>
      </c>
      <c r="D28" s="12" t="s">
        <v>544</v>
      </c>
      <c r="E28" s="20" t="s">
        <v>627</v>
      </c>
      <c r="F28" s="12" t="s">
        <v>32</v>
      </c>
      <c r="G28" s="10" t="s">
        <v>104</v>
      </c>
      <c r="H28" s="11" t="str">
        <f aca="false">IF(G28="","",IFERROR(INDEX(Productos!$B:$B,MATCH(G28,Productos!$A:$A,0)),""))</f>
        <v>Cebolla cabezona blanca</v>
      </c>
      <c r="I28" s="11" t="s">
        <v>554</v>
      </c>
      <c r="J28" s="12" t="n">
        <f aca="false">IF(F28="Fácil",10,IF(F28="Media",20,30))</f>
        <v>10</v>
      </c>
      <c r="K28" s="12" t="s">
        <v>330</v>
      </c>
    </row>
    <row r="29" customFormat="false" ht="15" hidden="false" customHeight="false" outlineLevel="0" collapsed="false">
      <c r="A29" s="11" t="s">
        <v>628</v>
      </c>
      <c r="B29" s="11" t="s">
        <v>27</v>
      </c>
      <c r="C29" s="20" t="s">
        <v>629</v>
      </c>
      <c r="D29" s="12" t="s">
        <v>544</v>
      </c>
      <c r="E29" s="20" t="s">
        <v>630</v>
      </c>
      <c r="F29" s="12" t="s">
        <v>33</v>
      </c>
      <c r="G29" s="10" t="s">
        <v>275</v>
      </c>
      <c r="H29" s="11" t="str">
        <f aca="false">IF(G29="","",IFERROR(INDEX(Productos!$B:$B,MATCH(G29,Productos!$A:$A,0)),""))</f>
        <v>Chocolatina Jet</v>
      </c>
      <c r="I29" s="11" t="s">
        <v>631</v>
      </c>
      <c r="J29" s="12" t="n">
        <f aca="false">IF(F29="Fácil",10,IF(F29="Media",20,30))</f>
        <v>20</v>
      </c>
      <c r="K29" s="12" t="s">
        <v>330</v>
      </c>
    </row>
    <row r="30" customFormat="false" ht="15" hidden="false" customHeight="false" outlineLevel="0" collapsed="false">
      <c r="A30" s="11" t="s">
        <v>632</v>
      </c>
      <c r="B30" s="11" t="s">
        <v>25</v>
      </c>
      <c r="C30" s="20" t="s">
        <v>633</v>
      </c>
      <c r="D30" s="12" t="s">
        <v>535</v>
      </c>
      <c r="E30" s="20" t="s">
        <v>634</v>
      </c>
      <c r="F30" s="12" t="s">
        <v>34</v>
      </c>
      <c r="G30" s="10" t="s">
        <v>149</v>
      </c>
      <c r="H30" s="11" t="str">
        <f aca="false">IF(G30="","",IFERROR(INDEX(Productos!$B:$B,MATCH(G30,Productos!$A:$A,0)),""))</f>
        <v>Pulpa de mora congelada</v>
      </c>
      <c r="I30" s="11" t="s">
        <v>566</v>
      </c>
      <c r="J30" s="12" t="n">
        <f aca="false">IF(F30="Fácil",10,IF(F30="Media",20,30))</f>
        <v>30</v>
      </c>
      <c r="K30" s="12" t="s">
        <v>330</v>
      </c>
    </row>
    <row r="31" customFormat="false" ht="23.85" hidden="false" customHeight="false" outlineLevel="0" collapsed="false">
      <c r="A31" s="11" t="s">
        <v>635</v>
      </c>
      <c r="B31" s="11" t="s">
        <v>24</v>
      </c>
      <c r="C31" s="20" t="s">
        <v>636</v>
      </c>
      <c r="D31" s="12" t="s">
        <v>544</v>
      </c>
      <c r="E31" s="20" t="s">
        <v>637</v>
      </c>
      <c r="F31" s="12" t="s">
        <v>32</v>
      </c>
      <c r="G31" s="10" t="s">
        <v>219</v>
      </c>
      <c r="H31" s="11" t="str">
        <f aca="false">IF(G31="","",IFERROR(INDEX(Productos!$B:$B,MATCH(G31,Productos!$A:$A,0)),""))</f>
        <v>Bocadillo veleño</v>
      </c>
      <c r="I31" s="11" t="s">
        <v>550</v>
      </c>
      <c r="J31" s="12" t="n">
        <f aca="false">IF(F31="Fácil",10,IF(F31="Media",20,30))</f>
        <v>10</v>
      </c>
      <c r="K31" s="12" t="s">
        <v>330</v>
      </c>
    </row>
    <row r="32" customFormat="false" ht="23.85" hidden="false" customHeight="false" outlineLevel="0" collapsed="false">
      <c r="A32" s="11" t="s">
        <v>638</v>
      </c>
      <c r="B32" s="11" t="s">
        <v>30</v>
      </c>
      <c r="C32" s="20" t="s">
        <v>639</v>
      </c>
      <c r="D32" s="12" t="s">
        <v>535</v>
      </c>
      <c r="E32" s="20" t="s">
        <v>640</v>
      </c>
      <c r="F32" s="12" t="s">
        <v>32</v>
      </c>
      <c r="G32" s="10"/>
      <c r="H32" s="11" t="str">
        <f aca="false">IF(G32="","",IFERROR(INDEX(Productos!$B:$B,MATCH(G32,Productos!$A:$A,0)),""))</f>
        <v/>
      </c>
      <c r="I32" s="11" t="s">
        <v>558</v>
      </c>
      <c r="J32" s="12" t="n">
        <f aca="false">IF(F32="Fácil",10,IF(F32="Media",20,30))</f>
        <v>10</v>
      </c>
      <c r="K32" s="12" t="s">
        <v>330</v>
      </c>
    </row>
    <row r="33" customFormat="false" ht="15" hidden="false" customHeight="false" outlineLevel="0" collapsed="false">
      <c r="A33" s="11" t="s">
        <v>641</v>
      </c>
      <c r="B33" s="11" t="s">
        <v>29</v>
      </c>
      <c r="C33" s="20" t="s">
        <v>642</v>
      </c>
      <c r="D33" s="12" t="s">
        <v>544</v>
      </c>
      <c r="E33" s="20" t="s">
        <v>643</v>
      </c>
      <c r="F33" s="12" t="s">
        <v>33</v>
      </c>
      <c r="G33" s="10"/>
      <c r="H33" s="11" t="str">
        <f aca="false">IF(G33="","",IFERROR(INDEX(Productos!$B:$B,MATCH(G33,Productos!$A:$A,0)),""))</f>
        <v/>
      </c>
      <c r="I33" s="11" t="s">
        <v>573</v>
      </c>
      <c r="J33" s="12" t="n">
        <f aca="false">IF(F33="Fácil",10,IF(F33="Media",20,30))</f>
        <v>20</v>
      </c>
      <c r="K33" s="12" t="s">
        <v>330</v>
      </c>
    </row>
    <row r="34" customFormat="false" ht="15" hidden="false" customHeight="false" outlineLevel="0" collapsed="false">
      <c r="A34" s="11" t="s">
        <v>644</v>
      </c>
      <c r="B34" s="11" t="s">
        <v>28</v>
      </c>
      <c r="C34" s="20" t="s">
        <v>645</v>
      </c>
      <c r="D34" s="12" t="s">
        <v>535</v>
      </c>
      <c r="E34" s="20" t="s">
        <v>646</v>
      </c>
      <c r="F34" s="12" t="s">
        <v>32</v>
      </c>
      <c r="G34" s="10" t="s">
        <v>202</v>
      </c>
      <c r="H34" s="11" t="str">
        <f aca="false">IF(G34="","",IFERROR(INDEX(Productos!$B:$B,MATCH(G34,Productos!$A:$A,0)),""))</f>
        <v>Aceite de girasol</v>
      </c>
      <c r="I34" s="11" t="s">
        <v>554</v>
      </c>
      <c r="J34" s="12" t="n">
        <f aca="false">IF(F34="Fácil",10,IF(F34="Media",20,30))</f>
        <v>10</v>
      </c>
      <c r="K34" s="12" t="s">
        <v>330</v>
      </c>
    </row>
    <row r="35" customFormat="false" ht="15" hidden="false" customHeight="false" outlineLevel="0" collapsed="false">
      <c r="A35" s="11" t="s">
        <v>647</v>
      </c>
      <c r="B35" s="11" t="s">
        <v>28</v>
      </c>
      <c r="C35" s="20" t="s">
        <v>648</v>
      </c>
      <c r="D35" s="12" t="s">
        <v>535</v>
      </c>
      <c r="E35" s="20" t="s">
        <v>649</v>
      </c>
      <c r="F35" s="12" t="s">
        <v>32</v>
      </c>
      <c r="G35" s="10" t="s">
        <v>255</v>
      </c>
      <c r="H35" s="11" t="str">
        <f aca="false">IF(G35="","",IFERROR(INDEX(Productos!$B:$B,MATCH(G35,Productos!$A:$A,0)),""))</f>
        <v>Aguardiente tradicional</v>
      </c>
      <c r="I35" s="11" t="s">
        <v>554</v>
      </c>
      <c r="J35" s="12" t="n">
        <f aca="false">IF(F35="Fácil",10,IF(F35="Media",20,30))</f>
        <v>10</v>
      </c>
      <c r="K35" s="12" t="s">
        <v>330</v>
      </c>
    </row>
    <row r="36" customFormat="false" ht="23.85" hidden="false" customHeight="false" outlineLevel="0" collapsed="false">
      <c r="A36" s="11" t="s">
        <v>650</v>
      </c>
      <c r="B36" s="11" t="s">
        <v>27</v>
      </c>
      <c r="C36" s="20" t="s">
        <v>651</v>
      </c>
      <c r="D36" s="12" t="s">
        <v>544</v>
      </c>
      <c r="E36" s="20" t="s">
        <v>652</v>
      </c>
      <c r="F36" s="12" t="s">
        <v>33</v>
      </c>
      <c r="G36" s="10" t="s">
        <v>98</v>
      </c>
      <c r="H36" s="11" t="str">
        <f aca="false">IF(G36="","",IFERROR(INDEX(Productos!$B:$B,MATCH(G36,Productos!$A:$A,0)),""))</f>
        <v>Mango Tommy</v>
      </c>
      <c r="I36" s="11" t="s">
        <v>631</v>
      </c>
      <c r="J36" s="12" t="n">
        <f aca="false">IF(F36="Fácil",10,IF(F36="Media",20,30))</f>
        <v>20</v>
      </c>
      <c r="K36" s="12" t="s">
        <v>330</v>
      </c>
    </row>
    <row r="37" customFormat="false" ht="15" hidden="false" customHeight="false" outlineLevel="0" collapsed="false">
      <c r="A37" s="11" t="s">
        <v>653</v>
      </c>
      <c r="B37" s="11" t="s">
        <v>28</v>
      </c>
      <c r="C37" s="20" t="s">
        <v>654</v>
      </c>
      <c r="D37" s="12" t="s">
        <v>535</v>
      </c>
      <c r="E37" s="20" t="s">
        <v>655</v>
      </c>
      <c r="F37" s="12" t="s">
        <v>32</v>
      </c>
      <c r="G37" s="10" t="s">
        <v>67</v>
      </c>
      <c r="H37" s="11" t="str">
        <f aca="false">IF(G37="","",IFERROR(INDEX(Productos!$B:$B,MATCH(G37,Productos!$A:$A,0)),""))</f>
        <v>Papa criolla lavada</v>
      </c>
      <c r="I37" s="11" t="s">
        <v>554</v>
      </c>
      <c r="J37" s="12" t="n">
        <f aca="false">IF(F37="Fácil",10,IF(F37="Media",20,30))</f>
        <v>10</v>
      </c>
      <c r="K37" s="12" t="s">
        <v>330</v>
      </c>
    </row>
    <row r="38" customFormat="false" ht="15" hidden="false" customHeight="false" outlineLevel="0" collapsed="false">
      <c r="A38" s="11" t="s">
        <v>656</v>
      </c>
      <c r="B38" s="11" t="s">
        <v>28</v>
      </c>
      <c r="C38" s="20" t="s">
        <v>657</v>
      </c>
      <c r="D38" s="12" t="s">
        <v>544</v>
      </c>
      <c r="E38" s="20" t="s">
        <v>658</v>
      </c>
      <c r="F38" s="12" t="s">
        <v>32</v>
      </c>
      <c r="G38" s="10" t="s">
        <v>159</v>
      </c>
      <c r="H38" s="11" t="str">
        <f aca="false">IF(G38="","",IFERROR(INDEX(Productos!$B:$B,MATCH(G38,Productos!$A:$A,0)),""))</f>
        <v>Arroz blanco</v>
      </c>
      <c r="I38" s="11" t="s">
        <v>554</v>
      </c>
      <c r="J38" s="12" t="n">
        <f aca="false">IF(F38="Fácil",10,IF(F38="Media",20,30))</f>
        <v>10</v>
      </c>
      <c r="K38" s="12" t="s">
        <v>330</v>
      </c>
    </row>
    <row r="39" customFormat="false" ht="15" hidden="false" customHeight="false" outlineLevel="0" collapsed="false">
      <c r="A39" s="11" t="s">
        <v>659</v>
      </c>
      <c r="B39" s="11" t="s">
        <v>29</v>
      </c>
      <c r="C39" s="20" t="s">
        <v>660</v>
      </c>
      <c r="D39" s="12" t="s">
        <v>535</v>
      </c>
      <c r="E39" s="20" t="s">
        <v>661</v>
      </c>
      <c r="F39" s="12" t="s">
        <v>33</v>
      </c>
      <c r="G39" s="10"/>
      <c r="H39" s="11" t="str">
        <f aca="false">IF(G39="","",IFERROR(INDEX(Productos!$B:$B,MATCH(G39,Productos!$A:$A,0)),""))</f>
        <v/>
      </c>
      <c r="I39" s="11" t="s">
        <v>573</v>
      </c>
      <c r="J39" s="12" t="n">
        <f aca="false">IF(F39="Fácil",10,IF(F39="Media",20,30))</f>
        <v>20</v>
      </c>
      <c r="K39" s="12" t="s">
        <v>330</v>
      </c>
    </row>
    <row r="40" customFormat="false" ht="15" hidden="false" customHeight="false" outlineLevel="0" collapsed="false">
      <c r="A40" s="11" t="s">
        <v>662</v>
      </c>
      <c r="B40" s="11" t="s">
        <v>28</v>
      </c>
      <c r="C40" s="20" t="s">
        <v>663</v>
      </c>
      <c r="D40" s="12" t="s">
        <v>544</v>
      </c>
      <c r="E40" s="20" t="s">
        <v>664</v>
      </c>
      <c r="F40" s="12" t="s">
        <v>32</v>
      </c>
      <c r="G40" s="10" t="s">
        <v>176</v>
      </c>
      <c r="H40" s="11" t="str">
        <f aca="false">IF(G40="","",IFERROR(INDEX(Productos!$B:$B,MATCH(G40,Productos!$A:$A,0)),""))</f>
        <v>Café tostado y molido</v>
      </c>
      <c r="I40" s="11" t="s">
        <v>554</v>
      </c>
      <c r="J40" s="12" t="n">
        <f aca="false">IF(F40="Fácil",10,IF(F40="Media",20,30))</f>
        <v>10</v>
      </c>
      <c r="K40" s="12" t="s">
        <v>330</v>
      </c>
    </row>
    <row r="41" customFormat="false" ht="23.85" hidden="false" customHeight="false" outlineLevel="0" collapsed="false">
      <c r="A41" s="11" t="s">
        <v>665</v>
      </c>
      <c r="B41" s="11" t="s">
        <v>24</v>
      </c>
      <c r="C41" s="20" t="s">
        <v>666</v>
      </c>
      <c r="D41" s="12" t="s">
        <v>535</v>
      </c>
      <c r="E41" s="20" t="s">
        <v>667</v>
      </c>
      <c r="F41" s="12" t="s">
        <v>32</v>
      </c>
      <c r="G41" s="10" t="s">
        <v>104</v>
      </c>
      <c r="H41" s="11" t="str">
        <f aca="false">IF(G41="","",IFERROR(INDEX(Productos!$B:$B,MATCH(G41,Productos!$A:$A,0)),""))</f>
        <v>Cebolla cabezona blanca</v>
      </c>
      <c r="I41" s="11" t="s">
        <v>550</v>
      </c>
      <c r="J41" s="12" t="n">
        <f aca="false">IF(F41="Fácil",10,IF(F41="Media",20,30))</f>
        <v>10</v>
      </c>
      <c r="K41" s="12" t="s">
        <v>330</v>
      </c>
    </row>
    <row r="42" customFormat="false" ht="15" hidden="false" customHeight="false" outlineLevel="0" collapsed="false">
      <c r="A42" s="11" t="s">
        <v>668</v>
      </c>
      <c r="B42" s="11" t="s">
        <v>25</v>
      </c>
      <c r="C42" s="20" t="s">
        <v>669</v>
      </c>
      <c r="D42" s="12" t="s">
        <v>544</v>
      </c>
      <c r="E42" s="20" t="s">
        <v>670</v>
      </c>
      <c r="F42" s="12" t="s">
        <v>34</v>
      </c>
      <c r="G42" s="10" t="s">
        <v>176</v>
      </c>
      <c r="H42" s="11" t="str">
        <f aca="false">IF(G42="","",IFERROR(INDEX(Productos!$B:$B,MATCH(G42,Productos!$A:$A,0)),""))</f>
        <v>Café tostado y molido</v>
      </c>
      <c r="I42" s="11" t="s">
        <v>566</v>
      </c>
      <c r="J42" s="12" t="n">
        <f aca="false">IF(F42="Fácil",10,IF(F42="Media",20,30))</f>
        <v>30</v>
      </c>
      <c r="K42" s="12" t="s">
        <v>330</v>
      </c>
    </row>
    <row r="43" customFormat="false" ht="23.85" hidden="false" customHeight="false" outlineLevel="0" collapsed="false">
      <c r="A43" s="11" t="s">
        <v>671</v>
      </c>
      <c r="B43" s="11" t="s">
        <v>30</v>
      </c>
      <c r="C43" s="20" t="s">
        <v>672</v>
      </c>
      <c r="D43" s="12" t="s">
        <v>544</v>
      </c>
      <c r="E43" s="20" t="s">
        <v>673</v>
      </c>
      <c r="F43" s="12" t="s">
        <v>32</v>
      </c>
      <c r="G43" s="10"/>
      <c r="H43" s="11" t="str">
        <f aca="false">IF(G43="","",IFERROR(INDEX(Productos!$B:$B,MATCH(G43,Productos!$A:$A,0)),""))</f>
        <v/>
      </c>
      <c r="I43" s="11" t="s">
        <v>558</v>
      </c>
      <c r="J43" s="12" t="n">
        <f aca="false">IF(F43="Fácil",10,IF(F43="Media",20,30))</f>
        <v>10</v>
      </c>
      <c r="K43" s="12" t="s">
        <v>330</v>
      </c>
    </row>
    <row r="44" customFormat="false" ht="15" hidden="false" customHeight="false" outlineLevel="0" collapsed="false">
      <c r="A44" s="11" t="s">
        <v>674</v>
      </c>
      <c r="B44" s="11" t="s">
        <v>28</v>
      </c>
      <c r="C44" s="20" t="s">
        <v>675</v>
      </c>
      <c r="D44" s="12" t="s">
        <v>535</v>
      </c>
      <c r="E44" s="20" t="s">
        <v>676</v>
      </c>
      <c r="F44" s="12" t="s">
        <v>32</v>
      </c>
      <c r="G44" s="10" t="s">
        <v>130</v>
      </c>
      <c r="H44" s="11" t="str">
        <f aca="false">IF(G44="","",IFERROR(INDEX(Productos!$B:$B,MATCH(G44,Productos!$A:$A,0)),""))</f>
        <v>Queso campesino</v>
      </c>
      <c r="I44" s="11" t="s">
        <v>554</v>
      </c>
      <c r="J44" s="12" t="n">
        <f aca="false">IF(F44="Fácil",10,IF(F44="Media",20,30))</f>
        <v>10</v>
      </c>
      <c r="K44" s="12" t="s">
        <v>330</v>
      </c>
    </row>
    <row r="45" customFormat="false" ht="23.85" hidden="false" customHeight="false" outlineLevel="0" collapsed="false">
      <c r="A45" s="11" t="s">
        <v>677</v>
      </c>
      <c r="B45" s="11" t="s">
        <v>28</v>
      </c>
      <c r="C45" s="20" t="s">
        <v>678</v>
      </c>
      <c r="D45" s="12" t="s">
        <v>544</v>
      </c>
      <c r="E45" s="20" t="s">
        <v>679</v>
      </c>
      <c r="F45" s="12" t="s">
        <v>32</v>
      </c>
      <c r="G45" s="10" t="s">
        <v>137</v>
      </c>
      <c r="H45" s="11" t="str">
        <f aca="false">IF(G45="","",IFERROR(INDEX(Productos!$B:$B,MATCH(G45,Productos!$A:$A,0)),""))</f>
        <v>Salchichas tipo Viena</v>
      </c>
      <c r="I45" s="11" t="s">
        <v>554</v>
      </c>
      <c r="J45" s="12" t="n">
        <f aca="false">IF(F45="Fácil",10,IF(F45="Media",20,30))</f>
        <v>10</v>
      </c>
      <c r="K45" s="12" t="s">
        <v>330</v>
      </c>
    </row>
    <row r="46" customFormat="false" ht="15" hidden="false" customHeight="false" outlineLevel="0" collapsed="false">
      <c r="A46" s="11" t="s">
        <v>680</v>
      </c>
      <c r="B46" s="11" t="s">
        <v>30</v>
      </c>
      <c r="C46" s="20" t="s">
        <v>681</v>
      </c>
      <c r="D46" s="12" t="s">
        <v>535</v>
      </c>
      <c r="E46" s="20" t="s">
        <v>682</v>
      </c>
      <c r="F46" s="12" t="s">
        <v>32</v>
      </c>
      <c r="G46" s="10"/>
      <c r="H46" s="11" t="str">
        <f aca="false">IF(G46="","",IFERROR(INDEX(Productos!$B:$B,MATCH(G46,Productos!$A:$A,0)),""))</f>
        <v/>
      </c>
      <c r="I46" s="11" t="s">
        <v>558</v>
      </c>
      <c r="J46" s="12" t="n">
        <f aca="false">IF(F46="Fácil",10,IF(F46="Media",20,30))</f>
        <v>10</v>
      </c>
      <c r="K46" s="12" t="s">
        <v>330</v>
      </c>
    </row>
    <row r="47" customFormat="false" ht="15" hidden="false" customHeight="false" outlineLevel="0" collapsed="false">
      <c r="A47" s="11" t="s">
        <v>683</v>
      </c>
      <c r="B47" s="11" t="s">
        <v>29</v>
      </c>
      <c r="C47" s="20" t="s">
        <v>684</v>
      </c>
      <c r="D47" s="12" t="s">
        <v>544</v>
      </c>
      <c r="E47" s="20" t="s">
        <v>685</v>
      </c>
      <c r="F47" s="12" t="s">
        <v>33</v>
      </c>
      <c r="G47" s="10"/>
      <c r="H47" s="11" t="str">
        <f aca="false">IF(G47="","",IFERROR(INDEX(Productos!$B:$B,MATCH(G47,Productos!$A:$A,0)),""))</f>
        <v/>
      </c>
      <c r="I47" s="11" t="s">
        <v>573</v>
      </c>
      <c r="J47" s="12" t="n">
        <f aca="false">IF(F47="Fácil",10,IF(F47="Media",20,30))</f>
        <v>20</v>
      </c>
      <c r="K47" s="12" t="s">
        <v>330</v>
      </c>
    </row>
    <row r="48" customFormat="false" ht="23.85" hidden="false" customHeight="false" outlineLevel="0" collapsed="false">
      <c r="A48" s="11" t="s">
        <v>686</v>
      </c>
      <c r="B48" s="11" t="s">
        <v>28</v>
      </c>
      <c r="C48" s="20" t="s">
        <v>687</v>
      </c>
      <c r="D48" s="12" t="s">
        <v>535</v>
      </c>
      <c r="E48" s="20" t="s">
        <v>688</v>
      </c>
      <c r="F48" s="12" t="s">
        <v>32</v>
      </c>
      <c r="G48" s="10" t="s">
        <v>244</v>
      </c>
      <c r="H48" s="11" t="str">
        <f aca="false">IF(G48="","",IFERROR(INDEX(Productos!$B:$B,MATCH(G48,Productos!$A:$A,0)),""))</f>
        <v>Gaseosa Colombiana</v>
      </c>
      <c r="I48" s="11" t="s">
        <v>537</v>
      </c>
      <c r="J48" s="12" t="n">
        <f aca="false">IF(F48="Fácil",10,IF(F48="Media",20,30))</f>
        <v>10</v>
      </c>
      <c r="K48" s="12" t="s">
        <v>330</v>
      </c>
    </row>
    <row r="49" customFormat="false" ht="15" hidden="false" customHeight="false" outlineLevel="0" collapsed="false">
      <c r="A49" s="11" t="s">
        <v>689</v>
      </c>
      <c r="B49" s="11" t="s">
        <v>25</v>
      </c>
      <c r="C49" s="20" t="s">
        <v>690</v>
      </c>
      <c r="D49" s="12" t="s">
        <v>544</v>
      </c>
      <c r="E49" s="20" t="s">
        <v>691</v>
      </c>
      <c r="F49" s="12" t="s">
        <v>34</v>
      </c>
      <c r="G49" s="10" t="s">
        <v>78</v>
      </c>
      <c r="H49" s="11" t="str">
        <f aca="false">IF(G49="","",IFERROR(INDEX(Productos!$B:$B,MATCH(G49,Productos!$A:$A,0)),""))</f>
        <v>Plátano hartón</v>
      </c>
      <c r="I49" s="11" t="s">
        <v>566</v>
      </c>
      <c r="J49" s="12" t="n">
        <f aca="false">IF(F49="Fácil",10,IF(F49="Media",20,30))</f>
        <v>30</v>
      </c>
      <c r="K49" s="12" t="s">
        <v>330</v>
      </c>
    </row>
    <row r="50" customFormat="false" ht="23.85" hidden="false" customHeight="false" outlineLevel="0" collapsed="false">
      <c r="A50" s="11" t="s">
        <v>692</v>
      </c>
      <c r="B50" s="11" t="s">
        <v>26</v>
      </c>
      <c r="C50" s="20" t="s">
        <v>693</v>
      </c>
      <c r="D50" s="12" t="s">
        <v>544</v>
      </c>
      <c r="E50" s="20" t="s">
        <v>694</v>
      </c>
      <c r="F50" s="12" t="s">
        <v>33</v>
      </c>
      <c r="G50" s="10" t="s">
        <v>186</v>
      </c>
      <c r="H50" s="11" t="str">
        <f aca="false">IF(G50="","",IFERROR(INDEX(Productos!$B:$B,MATCH(G50,Productos!$A:$A,0)),""))</f>
        <v>Café instantáneo clásico</v>
      </c>
      <c r="I50" s="11" t="s">
        <v>613</v>
      </c>
      <c r="J50" s="12" t="n">
        <f aca="false">IF(F50="Fácil",10,IF(F50="Media",20,30))</f>
        <v>20</v>
      </c>
      <c r="K50" s="12" t="s">
        <v>330</v>
      </c>
    </row>
    <row r="51" customFormat="false" ht="15" hidden="false" customHeight="false" outlineLevel="0" collapsed="false">
      <c r="A51" s="11" t="s">
        <v>695</v>
      </c>
      <c r="B51" s="11" t="s">
        <v>28</v>
      </c>
      <c r="C51" s="20" t="s">
        <v>696</v>
      </c>
      <c r="D51" s="12" t="s">
        <v>535</v>
      </c>
      <c r="E51" s="20" t="s">
        <v>697</v>
      </c>
      <c r="F51" s="12" t="s">
        <v>32</v>
      </c>
      <c r="G51" s="10" t="s">
        <v>292</v>
      </c>
      <c r="H51" s="11" t="str">
        <f aca="false">IF(G51="","",IFERROR(INDEX(Productos!$B:$B,MATCH(G51,Productos!$A:$A,0)),""))</f>
        <v>Galletas Saltín</v>
      </c>
      <c r="I51" s="11" t="s">
        <v>554</v>
      </c>
      <c r="J51" s="12" t="n">
        <f aca="false">IF(F51="Fácil",10,IF(F51="Media",20,30))</f>
        <v>10</v>
      </c>
      <c r="K51" s="12" t="s">
        <v>330</v>
      </c>
    </row>
    <row r="52" customFormat="false" ht="15" hidden="false" customHeight="false" outlineLevel="0" collapsed="false">
      <c r="A52" s="11" t="s">
        <v>698</v>
      </c>
      <c r="B52" s="11" t="s">
        <v>25</v>
      </c>
      <c r="C52" s="20" t="s">
        <v>699</v>
      </c>
      <c r="D52" s="12" t="s">
        <v>544</v>
      </c>
      <c r="E52" s="20" t="s">
        <v>700</v>
      </c>
      <c r="F52" s="12" t="s">
        <v>34</v>
      </c>
      <c r="G52" s="10" t="s">
        <v>124</v>
      </c>
      <c r="H52" s="11" t="str">
        <f aca="false">IF(G52="","",IFERROR(INDEX(Productos!$B:$B,MATCH(G52,Productos!$A:$A,0)),""))</f>
        <v>Yogurt entero</v>
      </c>
      <c r="I52" s="11" t="s">
        <v>566</v>
      </c>
      <c r="J52" s="12" t="n">
        <f aca="false">IF(F52="Fácil",10,IF(F52="Media",20,30))</f>
        <v>30</v>
      </c>
      <c r="K52" s="12" t="s">
        <v>330</v>
      </c>
    </row>
    <row r="53" customFormat="false" ht="23.85" hidden="false" customHeight="false" outlineLevel="0" collapsed="false">
      <c r="A53" s="11" t="s">
        <v>701</v>
      </c>
      <c r="B53" s="11" t="s">
        <v>29</v>
      </c>
      <c r="C53" s="20" t="s">
        <v>702</v>
      </c>
      <c r="D53" s="12" t="s">
        <v>535</v>
      </c>
      <c r="E53" s="20" t="s">
        <v>703</v>
      </c>
      <c r="F53" s="12" t="s">
        <v>33</v>
      </c>
      <c r="G53" s="10" t="s">
        <v>159</v>
      </c>
      <c r="H53" s="11" t="str">
        <f aca="false">IF(G53="","",IFERROR(INDEX(Productos!$B:$B,MATCH(G53,Productos!$A:$A,0)),""))</f>
        <v>Arroz blanco</v>
      </c>
      <c r="I53" s="11" t="s">
        <v>620</v>
      </c>
      <c r="J53" s="12" t="n">
        <f aca="false">IF(F53="Fácil",10,IF(F53="Media",20,30))</f>
        <v>20</v>
      </c>
      <c r="K53" s="12" t="s">
        <v>330</v>
      </c>
    </row>
    <row r="54" customFormat="false" ht="23.85" hidden="false" customHeight="false" outlineLevel="0" collapsed="false">
      <c r="A54" s="11" t="s">
        <v>704</v>
      </c>
      <c r="B54" s="11" t="s">
        <v>24</v>
      </c>
      <c r="C54" s="20" t="s">
        <v>705</v>
      </c>
      <c r="D54" s="12" t="s">
        <v>535</v>
      </c>
      <c r="E54" s="20" t="s">
        <v>706</v>
      </c>
      <c r="F54" s="12" t="s">
        <v>32</v>
      </c>
      <c r="G54" s="10" t="s">
        <v>283</v>
      </c>
      <c r="H54" s="11" t="str">
        <f aca="false">IF(G54="","",IFERROR(INDEX(Productos!$B:$B,MATCH(G54,Productos!$A:$A,0)),""))</f>
        <v>Papas fritas sabor pollo</v>
      </c>
      <c r="I54" s="11" t="s">
        <v>550</v>
      </c>
      <c r="J54" s="12" t="n">
        <f aca="false">IF(F54="Fácil",10,IF(F54="Media",20,30))</f>
        <v>10</v>
      </c>
      <c r="K54" s="12" t="s">
        <v>330</v>
      </c>
    </row>
    <row r="55" customFormat="false" ht="15" hidden="false" customHeight="false" outlineLevel="0" collapsed="false">
      <c r="A55" s="11" t="s">
        <v>707</v>
      </c>
      <c r="B55" s="11" t="s">
        <v>26</v>
      </c>
      <c r="C55" s="20" t="s">
        <v>708</v>
      </c>
      <c r="D55" s="12" t="s">
        <v>544</v>
      </c>
      <c r="E55" s="20" t="s">
        <v>709</v>
      </c>
      <c r="F55" s="12" t="s">
        <v>33</v>
      </c>
      <c r="G55" s="10" t="s">
        <v>292</v>
      </c>
      <c r="H55" s="11" t="str">
        <f aca="false">IF(G55="","",IFERROR(INDEX(Productos!$B:$B,MATCH(G55,Productos!$A:$A,0)),""))</f>
        <v>Galletas Saltín</v>
      </c>
      <c r="I55" s="11" t="s">
        <v>613</v>
      </c>
      <c r="J55" s="12" t="n">
        <f aca="false">IF(F55="Fácil",10,IF(F55="Media",20,30))</f>
        <v>20</v>
      </c>
      <c r="K55" s="12" t="s">
        <v>330</v>
      </c>
    </row>
    <row r="56" customFormat="false" ht="23.85" hidden="false" customHeight="false" outlineLevel="0" collapsed="false">
      <c r="A56" s="11" t="s">
        <v>710</v>
      </c>
      <c r="B56" s="11" t="s">
        <v>27</v>
      </c>
      <c r="C56" s="20" t="s">
        <v>711</v>
      </c>
      <c r="D56" s="12" t="s">
        <v>544</v>
      </c>
      <c r="E56" s="20" t="s">
        <v>712</v>
      </c>
      <c r="F56" s="12" t="s">
        <v>33</v>
      </c>
      <c r="G56" s="10" t="s">
        <v>130</v>
      </c>
      <c r="H56" s="11" t="str">
        <f aca="false">IF(G56="","",IFERROR(INDEX(Productos!$B:$B,MATCH(G56,Productos!$A:$A,0)),""))</f>
        <v>Queso campesino</v>
      </c>
      <c r="I56" s="11" t="s">
        <v>631</v>
      </c>
      <c r="J56" s="12" t="n">
        <f aca="false">IF(F56="Fácil",10,IF(F56="Media",20,30))</f>
        <v>20</v>
      </c>
      <c r="K56" s="12" t="s">
        <v>330</v>
      </c>
    </row>
    <row r="57" customFormat="false" ht="15" hidden="false" customHeight="false" outlineLevel="0" collapsed="false">
      <c r="A57" s="11" t="s">
        <v>713</v>
      </c>
      <c r="B57" s="11" t="s">
        <v>25</v>
      </c>
      <c r="C57" s="20" t="s">
        <v>714</v>
      </c>
      <c r="D57" s="12" t="s">
        <v>544</v>
      </c>
      <c r="E57" s="20" t="s">
        <v>715</v>
      </c>
      <c r="F57" s="12" t="s">
        <v>34</v>
      </c>
      <c r="G57" s="10" t="s">
        <v>159</v>
      </c>
      <c r="H57" s="11" t="str">
        <f aca="false">IF(G57="","",IFERROR(INDEX(Productos!$B:$B,MATCH(G57,Productos!$A:$A,0)),""))</f>
        <v>Arroz blanco</v>
      </c>
      <c r="I57" s="11" t="s">
        <v>562</v>
      </c>
      <c r="J57" s="12" t="n">
        <f aca="false">IF(F57="Fácil",10,IF(F57="Media",20,30))</f>
        <v>30</v>
      </c>
      <c r="K57" s="12" t="s">
        <v>330</v>
      </c>
    </row>
    <row r="58" customFormat="false" ht="23.85" hidden="false" customHeight="false" outlineLevel="0" collapsed="false">
      <c r="A58" s="11" t="s">
        <v>716</v>
      </c>
      <c r="B58" s="11" t="s">
        <v>24</v>
      </c>
      <c r="C58" s="20" t="s">
        <v>717</v>
      </c>
      <c r="D58" s="12" t="s">
        <v>544</v>
      </c>
      <c r="E58" s="20" t="s">
        <v>718</v>
      </c>
      <c r="F58" s="12" t="s">
        <v>32</v>
      </c>
      <c r="G58" s="10" t="s">
        <v>83</v>
      </c>
      <c r="H58" s="11" t="str">
        <f aca="false">IF(G58="","",IFERROR(INDEX(Productos!$B:$B,MATCH(G58,Productos!$A:$A,0)),""))</f>
        <v>Uchuva con capacho</v>
      </c>
      <c r="I58" s="11" t="s">
        <v>546</v>
      </c>
      <c r="J58" s="12" t="n">
        <f aca="false">IF(F58="Fácil",10,IF(F58="Media",20,30))</f>
        <v>10</v>
      </c>
      <c r="K58" s="12" t="s">
        <v>330</v>
      </c>
    </row>
    <row r="59" customFormat="false" ht="23.85" hidden="false" customHeight="false" outlineLevel="0" collapsed="false">
      <c r="A59" s="11" t="s">
        <v>719</v>
      </c>
      <c r="B59" s="11" t="s">
        <v>26</v>
      </c>
      <c r="C59" s="20" t="s">
        <v>720</v>
      </c>
      <c r="D59" s="12" t="s">
        <v>544</v>
      </c>
      <c r="E59" s="20" t="s">
        <v>721</v>
      </c>
      <c r="F59" s="12" t="s">
        <v>33</v>
      </c>
      <c r="G59" s="10" t="s">
        <v>255</v>
      </c>
      <c r="H59" s="11" t="str">
        <f aca="false">IF(G59="","",IFERROR(INDEX(Productos!$B:$B,MATCH(G59,Productos!$A:$A,0)),""))</f>
        <v>Aguardiente tradicional</v>
      </c>
      <c r="I59" s="11" t="s">
        <v>613</v>
      </c>
      <c r="J59" s="12" t="n">
        <f aca="false">IF(F59="Fácil",10,IF(F59="Media",20,30))</f>
        <v>20</v>
      </c>
      <c r="K59" s="12" t="s">
        <v>330</v>
      </c>
    </row>
    <row r="60" customFormat="false" ht="23.85" hidden="false" customHeight="false" outlineLevel="0" collapsed="false">
      <c r="A60" s="11" t="s">
        <v>722</v>
      </c>
      <c r="B60" s="11" t="s">
        <v>30</v>
      </c>
      <c r="C60" s="20" t="s">
        <v>723</v>
      </c>
      <c r="D60" s="12" t="s">
        <v>544</v>
      </c>
      <c r="E60" s="20" t="s">
        <v>724</v>
      </c>
      <c r="F60" s="12" t="s">
        <v>32</v>
      </c>
      <c r="G60" s="10"/>
      <c r="H60" s="11" t="str">
        <f aca="false">IF(G60="","",IFERROR(INDEX(Productos!$B:$B,MATCH(G60,Productos!$A:$A,0)),""))</f>
        <v/>
      </c>
      <c r="I60" s="11" t="s">
        <v>558</v>
      </c>
      <c r="J60" s="12" t="n">
        <f aca="false">IF(F60="Fácil",10,IF(F60="Media",20,30))</f>
        <v>10</v>
      </c>
      <c r="K60" s="12" t="s">
        <v>330</v>
      </c>
    </row>
    <row r="61" customFormat="false" ht="23.85" hidden="false" customHeight="false" outlineLevel="0" collapsed="false">
      <c r="A61" s="11" t="s">
        <v>725</v>
      </c>
      <c r="B61" s="11" t="s">
        <v>29</v>
      </c>
      <c r="C61" s="20" t="s">
        <v>726</v>
      </c>
      <c r="D61" s="12" t="s">
        <v>535</v>
      </c>
      <c r="E61" s="20" t="s">
        <v>727</v>
      </c>
      <c r="F61" s="12" t="s">
        <v>33</v>
      </c>
      <c r="G61" s="10" t="s">
        <v>78</v>
      </c>
      <c r="H61" s="11" t="str">
        <f aca="false">IF(G61="","",IFERROR(INDEX(Productos!$B:$B,MATCH(G61,Productos!$A:$A,0)),""))</f>
        <v>Plátano hartón</v>
      </c>
      <c r="I61" s="11" t="s">
        <v>620</v>
      </c>
      <c r="J61" s="12" t="n">
        <f aca="false">IF(F61="Fácil",10,IF(F61="Media",20,30))</f>
        <v>20</v>
      </c>
      <c r="K61" s="12" t="s">
        <v>330</v>
      </c>
    </row>
    <row r="62" customFormat="false" ht="23.85" hidden="false" customHeight="false" outlineLevel="0" collapsed="false">
      <c r="A62" s="11" t="s">
        <v>728</v>
      </c>
      <c r="B62" s="11" t="s">
        <v>28</v>
      </c>
      <c r="C62" s="20" t="s">
        <v>729</v>
      </c>
      <c r="D62" s="12" t="s">
        <v>544</v>
      </c>
      <c r="E62" s="20" t="s">
        <v>730</v>
      </c>
      <c r="F62" s="12" t="s">
        <v>32</v>
      </c>
      <c r="G62" s="10" t="s">
        <v>283</v>
      </c>
      <c r="H62" s="11" t="str">
        <f aca="false">IF(G62="","",IFERROR(INDEX(Productos!$B:$B,MATCH(G62,Productos!$A:$A,0)),""))</f>
        <v>Papas fritas sabor pollo</v>
      </c>
      <c r="I62" s="11" t="s">
        <v>554</v>
      </c>
      <c r="J62" s="12" t="n">
        <f aca="false">IF(F62="Fácil",10,IF(F62="Media",20,30))</f>
        <v>10</v>
      </c>
      <c r="K62" s="12" t="s">
        <v>330</v>
      </c>
    </row>
    <row r="63" customFormat="false" ht="23.85" hidden="false" customHeight="false" outlineLevel="0" collapsed="false">
      <c r="A63" s="11" t="s">
        <v>731</v>
      </c>
      <c r="B63" s="11" t="s">
        <v>24</v>
      </c>
      <c r="C63" s="20" t="s">
        <v>732</v>
      </c>
      <c r="D63" s="12" t="s">
        <v>535</v>
      </c>
      <c r="E63" s="20" t="s">
        <v>733</v>
      </c>
      <c r="F63" s="12" t="s">
        <v>32</v>
      </c>
      <c r="G63" s="10" t="s">
        <v>91</v>
      </c>
      <c r="H63" s="11" t="str">
        <f aca="false">IF(G63="","",IFERROR(INDEX(Productos!$B:$B,MATCH(G63,Productos!$A:$A,0)),""))</f>
        <v>Lulo</v>
      </c>
      <c r="I63" s="11" t="s">
        <v>546</v>
      </c>
      <c r="J63" s="12" t="n">
        <f aca="false">IF(F63="Fácil",10,IF(F63="Media",20,30))</f>
        <v>10</v>
      </c>
      <c r="K63" s="12" t="s">
        <v>330</v>
      </c>
    </row>
    <row r="64" customFormat="false" ht="15" hidden="false" customHeight="false" outlineLevel="0" collapsed="false">
      <c r="A64" s="11" t="s">
        <v>734</v>
      </c>
      <c r="B64" s="11" t="s">
        <v>25</v>
      </c>
      <c r="C64" s="20" t="s">
        <v>735</v>
      </c>
      <c r="D64" s="12" t="s">
        <v>544</v>
      </c>
      <c r="E64" s="20" t="s">
        <v>736</v>
      </c>
      <c r="F64" s="12" t="s">
        <v>34</v>
      </c>
      <c r="G64" s="10" t="s">
        <v>194</v>
      </c>
      <c r="H64" s="11" t="str">
        <f aca="false">IF(G64="","",IFERROR(INDEX(Productos!$B:$B,MATCH(G64,Productos!$A:$A,0)),""))</f>
        <v>Chocolate de mesa</v>
      </c>
      <c r="I64" s="11" t="s">
        <v>562</v>
      </c>
      <c r="J64" s="12" t="n">
        <f aca="false">IF(F64="Fácil",10,IF(F64="Media",20,30))</f>
        <v>30</v>
      </c>
      <c r="K64" s="12" t="s">
        <v>330</v>
      </c>
    </row>
    <row r="65" customFormat="false" ht="15" hidden="false" customHeight="false" outlineLevel="0" collapsed="false">
      <c r="A65" s="11" t="s">
        <v>737</v>
      </c>
      <c r="B65" s="11" t="s">
        <v>27</v>
      </c>
      <c r="C65" s="20" t="s">
        <v>738</v>
      </c>
      <c r="D65" s="12" t="s">
        <v>544</v>
      </c>
      <c r="E65" s="20" t="s">
        <v>739</v>
      </c>
      <c r="F65" s="12" t="s">
        <v>33</v>
      </c>
      <c r="G65" s="10" t="s">
        <v>67</v>
      </c>
      <c r="H65" s="11" t="str">
        <f aca="false">IF(G65="","",IFERROR(INDEX(Productos!$B:$B,MATCH(G65,Productos!$A:$A,0)),""))</f>
        <v>Papa criolla lavada</v>
      </c>
      <c r="I65" s="11" t="s">
        <v>631</v>
      </c>
      <c r="J65" s="12" t="n">
        <f aca="false">IF(F65="Fácil",10,IF(F65="Media",20,30))</f>
        <v>20</v>
      </c>
      <c r="K65" s="12" t="s">
        <v>330</v>
      </c>
    </row>
    <row r="66" customFormat="false" ht="15" hidden="false" customHeight="false" outlineLevel="0" collapsed="false">
      <c r="A66" s="11" t="s">
        <v>740</v>
      </c>
      <c r="B66" s="11" t="s">
        <v>28</v>
      </c>
      <c r="C66" s="20" t="s">
        <v>741</v>
      </c>
      <c r="D66" s="12" t="s">
        <v>544</v>
      </c>
      <c r="E66" s="20" t="s">
        <v>742</v>
      </c>
      <c r="F66" s="12" t="s">
        <v>32</v>
      </c>
      <c r="G66" s="10" t="s">
        <v>213</v>
      </c>
      <c r="H66" s="11" t="str">
        <f aca="false">IF(G66="","",IFERROR(INDEX(Productos!$B:$B,MATCH(G66,Productos!$A:$A,0)),""))</f>
        <v>Fríjol cargamanto</v>
      </c>
      <c r="I66" s="11" t="s">
        <v>554</v>
      </c>
      <c r="J66" s="12" t="n">
        <f aca="false">IF(F66="Fácil",10,IF(F66="Media",20,30))</f>
        <v>10</v>
      </c>
      <c r="K66" s="12" t="s">
        <v>330</v>
      </c>
    </row>
    <row r="67" customFormat="false" ht="23.85" hidden="false" customHeight="false" outlineLevel="0" collapsed="false">
      <c r="A67" s="11" t="s">
        <v>743</v>
      </c>
      <c r="B67" s="11" t="s">
        <v>28</v>
      </c>
      <c r="C67" s="20" t="s">
        <v>744</v>
      </c>
      <c r="D67" s="12" t="s">
        <v>535</v>
      </c>
      <c r="E67" s="20" t="s">
        <v>745</v>
      </c>
      <c r="F67" s="12" t="s">
        <v>32</v>
      </c>
      <c r="G67" s="10" t="s">
        <v>283</v>
      </c>
      <c r="H67" s="11" t="str">
        <f aca="false">IF(G67="","",IFERROR(INDEX(Productos!$B:$B,MATCH(G67,Productos!$A:$A,0)),""))</f>
        <v>Papas fritas sabor pollo</v>
      </c>
      <c r="I67" s="11" t="s">
        <v>537</v>
      </c>
      <c r="J67" s="12" t="n">
        <f aca="false">IF(F67="Fácil",10,IF(F67="Media",20,30))</f>
        <v>10</v>
      </c>
      <c r="K67" s="12" t="s">
        <v>330</v>
      </c>
    </row>
    <row r="68" customFormat="false" ht="23.85" hidden="false" customHeight="false" outlineLevel="0" collapsed="false">
      <c r="A68" s="11" t="s">
        <v>746</v>
      </c>
      <c r="B68" s="11" t="s">
        <v>28</v>
      </c>
      <c r="C68" s="20" t="s">
        <v>747</v>
      </c>
      <c r="D68" s="12" t="s">
        <v>535</v>
      </c>
      <c r="E68" s="20" t="s">
        <v>748</v>
      </c>
      <c r="F68" s="12" t="s">
        <v>32</v>
      </c>
      <c r="G68" s="10" t="s">
        <v>213</v>
      </c>
      <c r="H68" s="11" t="str">
        <f aca="false">IF(G68="","",IFERROR(INDEX(Productos!$B:$B,MATCH(G68,Productos!$A:$A,0)),""))</f>
        <v>Fríjol cargamanto</v>
      </c>
      <c r="I68" s="11" t="s">
        <v>537</v>
      </c>
      <c r="J68" s="12" t="n">
        <f aca="false">IF(F68="Fácil",10,IF(F68="Media",20,30))</f>
        <v>10</v>
      </c>
      <c r="K68" s="12" t="s">
        <v>330</v>
      </c>
    </row>
    <row r="69" customFormat="false" ht="15" hidden="false" customHeight="false" outlineLevel="0" collapsed="false">
      <c r="A69" s="11" t="s">
        <v>749</v>
      </c>
      <c r="B69" s="11" t="s">
        <v>28</v>
      </c>
      <c r="C69" s="20" t="s">
        <v>750</v>
      </c>
      <c r="D69" s="12" t="s">
        <v>535</v>
      </c>
      <c r="E69" s="20" t="s">
        <v>751</v>
      </c>
      <c r="F69" s="12" t="s">
        <v>32</v>
      </c>
      <c r="G69" s="10" t="s">
        <v>98</v>
      </c>
      <c r="H69" s="11" t="str">
        <f aca="false">IF(G69="","",IFERROR(INDEX(Productos!$B:$B,MATCH(G69,Productos!$A:$A,0)),""))</f>
        <v>Mango Tommy</v>
      </c>
      <c r="I69" s="11" t="s">
        <v>554</v>
      </c>
      <c r="J69" s="12" t="n">
        <f aca="false">IF(F69="Fácil",10,IF(F69="Media",20,30))</f>
        <v>10</v>
      </c>
      <c r="K69" s="12" t="s">
        <v>330</v>
      </c>
    </row>
    <row r="70" customFormat="false" ht="15" hidden="false" customHeight="false" outlineLevel="0" collapsed="false">
      <c r="A70" s="11" t="s">
        <v>752</v>
      </c>
      <c r="B70" s="11" t="s">
        <v>27</v>
      </c>
      <c r="C70" s="20" t="s">
        <v>753</v>
      </c>
      <c r="D70" s="12" t="s">
        <v>535</v>
      </c>
      <c r="E70" s="20" t="s">
        <v>754</v>
      </c>
      <c r="F70" s="12" t="s">
        <v>33</v>
      </c>
      <c r="G70" s="10" t="s">
        <v>302</v>
      </c>
      <c r="H70" s="11" t="str">
        <f aca="false">IF(G70="","",IFERROR(INDEX(Productos!$B:$B,MATCH(G70,Productos!$A:$A,0)),""))</f>
        <v>Papel higiénico</v>
      </c>
      <c r="I70" s="11" t="s">
        <v>541</v>
      </c>
      <c r="J70" s="12" t="n">
        <f aca="false">IF(F70="Fácil",10,IF(F70="Media",20,30))</f>
        <v>20</v>
      </c>
      <c r="K70" s="12" t="s">
        <v>330</v>
      </c>
    </row>
    <row r="71" customFormat="false" ht="23.85" hidden="false" customHeight="false" outlineLevel="0" collapsed="false">
      <c r="A71" s="11" t="s">
        <v>755</v>
      </c>
      <c r="B71" s="11" t="s">
        <v>24</v>
      </c>
      <c r="C71" s="20" t="s">
        <v>756</v>
      </c>
      <c r="D71" s="12" t="s">
        <v>535</v>
      </c>
      <c r="E71" s="20" t="s">
        <v>757</v>
      </c>
      <c r="F71" s="12" t="s">
        <v>32</v>
      </c>
      <c r="G71" s="10" t="s">
        <v>228</v>
      </c>
      <c r="H71" s="11" t="str">
        <f aca="false">IF(G71="","",IFERROR(INDEX(Productos!$B:$B,MATCH(G71,Productos!$A:$A,0)),""))</f>
        <v>Arequipe</v>
      </c>
      <c r="I71" s="11" t="s">
        <v>550</v>
      </c>
      <c r="J71" s="12" t="n">
        <f aca="false">IF(F71="Fácil",10,IF(F71="Media",20,30))</f>
        <v>10</v>
      </c>
      <c r="K71" s="12" t="s">
        <v>330</v>
      </c>
    </row>
    <row r="72" customFormat="false" ht="15" hidden="false" customHeight="false" outlineLevel="0" collapsed="false">
      <c r="A72" s="11" t="s">
        <v>758</v>
      </c>
      <c r="B72" s="11" t="s">
        <v>26</v>
      </c>
      <c r="C72" s="20" t="s">
        <v>759</v>
      </c>
      <c r="D72" s="12" t="s">
        <v>544</v>
      </c>
      <c r="E72" s="20" t="s">
        <v>760</v>
      </c>
      <c r="F72" s="12" t="s">
        <v>33</v>
      </c>
      <c r="G72" s="10" t="s">
        <v>219</v>
      </c>
      <c r="H72" s="11" t="str">
        <f aca="false">IF(G72="","",IFERROR(INDEX(Productos!$B:$B,MATCH(G72,Productos!$A:$A,0)),""))</f>
        <v>Bocadillo veleño</v>
      </c>
      <c r="I72" s="11" t="s">
        <v>613</v>
      </c>
      <c r="J72" s="12" t="n">
        <f aca="false">IF(F72="Fácil",10,IF(F72="Media",20,30))</f>
        <v>20</v>
      </c>
      <c r="K72" s="12" t="s">
        <v>330</v>
      </c>
    </row>
    <row r="73" customFormat="false" ht="15" hidden="false" customHeight="false" outlineLevel="0" collapsed="false">
      <c r="A73" s="11" t="s">
        <v>761</v>
      </c>
      <c r="B73" s="11" t="s">
        <v>28</v>
      </c>
      <c r="C73" s="20" t="s">
        <v>762</v>
      </c>
      <c r="D73" s="12" t="s">
        <v>544</v>
      </c>
      <c r="E73" s="20" t="s">
        <v>763</v>
      </c>
      <c r="F73" s="12" t="s">
        <v>32</v>
      </c>
      <c r="G73" s="10" t="s">
        <v>60</v>
      </c>
      <c r="H73" s="11" t="str">
        <f aca="false">IF(G73="","",IFERROR(INDEX(Productos!$B:$B,MATCH(G73,Productos!$A:$A,0)),""))</f>
        <v>Aguacate Hass</v>
      </c>
      <c r="I73" s="11" t="s">
        <v>554</v>
      </c>
      <c r="J73" s="12" t="n">
        <f aca="false">IF(F73="Fácil",10,IF(F73="Media",20,30))</f>
        <v>10</v>
      </c>
      <c r="K73" s="12" t="s">
        <v>330</v>
      </c>
    </row>
    <row r="74" customFormat="false" ht="23.85" hidden="false" customHeight="false" outlineLevel="0" collapsed="false">
      <c r="A74" s="11" t="s">
        <v>764</v>
      </c>
      <c r="B74" s="11" t="s">
        <v>28</v>
      </c>
      <c r="C74" s="20" t="s">
        <v>765</v>
      </c>
      <c r="D74" s="12" t="s">
        <v>535</v>
      </c>
      <c r="E74" s="20" t="s">
        <v>766</v>
      </c>
      <c r="F74" s="12" t="s">
        <v>32</v>
      </c>
      <c r="G74" s="10" t="s">
        <v>176</v>
      </c>
      <c r="H74" s="11" t="str">
        <f aca="false">IF(G74="","",IFERROR(INDEX(Productos!$B:$B,MATCH(G74,Productos!$A:$A,0)),""))</f>
        <v>Café tostado y molido</v>
      </c>
      <c r="I74" s="11" t="s">
        <v>537</v>
      </c>
      <c r="J74" s="12" t="n">
        <f aca="false">IF(F74="Fácil",10,IF(F74="Media",20,30))</f>
        <v>10</v>
      </c>
      <c r="K74" s="12" t="s">
        <v>330</v>
      </c>
    </row>
    <row r="75" customFormat="false" ht="23.85" hidden="false" customHeight="false" outlineLevel="0" collapsed="false">
      <c r="A75" s="11" t="s">
        <v>767</v>
      </c>
      <c r="B75" s="11" t="s">
        <v>24</v>
      </c>
      <c r="C75" s="20" t="s">
        <v>768</v>
      </c>
      <c r="D75" s="12" t="s">
        <v>544</v>
      </c>
      <c r="E75" s="20" t="s">
        <v>769</v>
      </c>
      <c r="F75" s="12" t="s">
        <v>32</v>
      </c>
      <c r="G75" s="10" t="s">
        <v>202</v>
      </c>
      <c r="H75" s="11" t="str">
        <f aca="false">IF(G75="","",IFERROR(INDEX(Productos!$B:$B,MATCH(G75,Productos!$A:$A,0)),""))</f>
        <v>Aceite de girasol</v>
      </c>
      <c r="I75" s="11" t="s">
        <v>550</v>
      </c>
      <c r="J75" s="12" t="n">
        <f aca="false">IF(F75="Fácil",10,IF(F75="Media",20,30))</f>
        <v>10</v>
      </c>
      <c r="K75" s="12" t="s">
        <v>330</v>
      </c>
    </row>
    <row r="76" customFormat="false" ht="23.85" hidden="false" customHeight="false" outlineLevel="0" collapsed="false">
      <c r="A76" s="11" t="s">
        <v>770</v>
      </c>
      <c r="B76" s="11" t="s">
        <v>30</v>
      </c>
      <c r="C76" s="20" t="s">
        <v>771</v>
      </c>
      <c r="D76" s="12" t="s">
        <v>535</v>
      </c>
      <c r="E76" s="20" t="s">
        <v>772</v>
      </c>
      <c r="F76" s="12" t="s">
        <v>32</v>
      </c>
      <c r="G76" s="10"/>
      <c r="H76" s="11" t="str">
        <f aca="false">IF(G76="","",IFERROR(INDEX(Productos!$B:$B,MATCH(G76,Productos!$A:$A,0)),""))</f>
        <v/>
      </c>
      <c r="I76" s="11" t="s">
        <v>558</v>
      </c>
      <c r="J76" s="12" t="n">
        <f aca="false">IF(F76="Fácil",10,IF(F76="Media",20,30))</f>
        <v>10</v>
      </c>
      <c r="K76" s="12" t="s">
        <v>330</v>
      </c>
    </row>
    <row r="77" customFormat="false" ht="23.85" hidden="false" customHeight="false" outlineLevel="0" collapsed="false">
      <c r="A77" s="11" t="s">
        <v>773</v>
      </c>
      <c r="B77" s="11" t="s">
        <v>24</v>
      </c>
      <c r="C77" s="20" t="s">
        <v>774</v>
      </c>
      <c r="D77" s="12" t="s">
        <v>544</v>
      </c>
      <c r="E77" s="20" t="s">
        <v>775</v>
      </c>
      <c r="F77" s="12" t="s">
        <v>32</v>
      </c>
      <c r="G77" s="10" t="s">
        <v>275</v>
      </c>
      <c r="H77" s="11" t="str">
        <f aca="false">IF(G77="","",IFERROR(INDEX(Productos!$B:$B,MATCH(G77,Productos!$A:$A,0)),""))</f>
        <v>Chocolatina Jet</v>
      </c>
      <c r="I77" s="11" t="s">
        <v>550</v>
      </c>
      <c r="J77" s="12" t="n">
        <f aca="false">IF(F77="Fácil",10,IF(F77="Media",20,30))</f>
        <v>10</v>
      </c>
      <c r="K77" s="12" t="s">
        <v>330</v>
      </c>
    </row>
    <row r="78" customFormat="false" ht="23.85" hidden="false" customHeight="false" outlineLevel="0" collapsed="false">
      <c r="A78" s="11" t="s">
        <v>776</v>
      </c>
      <c r="B78" s="11" t="s">
        <v>24</v>
      </c>
      <c r="C78" s="20" t="s">
        <v>777</v>
      </c>
      <c r="D78" s="12" t="s">
        <v>535</v>
      </c>
      <c r="E78" s="20" t="s">
        <v>778</v>
      </c>
      <c r="F78" s="12" t="s">
        <v>32</v>
      </c>
      <c r="G78" s="10" t="s">
        <v>60</v>
      </c>
      <c r="H78" s="11" t="str">
        <f aca="false">IF(G78="","",IFERROR(INDEX(Productos!$B:$B,MATCH(G78,Productos!$A:$A,0)),""))</f>
        <v>Aguacate Hass</v>
      </c>
      <c r="I78" s="11" t="s">
        <v>546</v>
      </c>
      <c r="J78" s="12" t="n">
        <f aca="false">IF(F78="Fácil",10,IF(F78="Media",20,30))</f>
        <v>10</v>
      </c>
      <c r="K78" s="12" t="s">
        <v>330</v>
      </c>
    </row>
    <row r="79" customFormat="false" ht="23.85" hidden="false" customHeight="false" outlineLevel="0" collapsed="false">
      <c r="A79" s="11" t="s">
        <v>779</v>
      </c>
      <c r="B79" s="11" t="s">
        <v>24</v>
      </c>
      <c r="C79" s="20" t="s">
        <v>780</v>
      </c>
      <c r="D79" s="12" t="s">
        <v>544</v>
      </c>
      <c r="E79" s="20" t="s">
        <v>781</v>
      </c>
      <c r="F79" s="12" t="s">
        <v>32</v>
      </c>
      <c r="G79" s="10" t="s">
        <v>149</v>
      </c>
      <c r="H79" s="11" t="str">
        <f aca="false">IF(G79="","",IFERROR(INDEX(Productos!$B:$B,MATCH(G79,Productos!$A:$A,0)),""))</f>
        <v>Pulpa de mora congelada</v>
      </c>
      <c r="I79" s="11" t="s">
        <v>546</v>
      </c>
      <c r="J79" s="12" t="n">
        <f aca="false">IF(F79="Fácil",10,IF(F79="Media",20,30))</f>
        <v>10</v>
      </c>
      <c r="K79" s="12" t="s">
        <v>330</v>
      </c>
    </row>
    <row r="80" customFormat="false" ht="23.85" hidden="false" customHeight="false" outlineLevel="0" collapsed="false">
      <c r="A80" s="11" t="s">
        <v>782</v>
      </c>
      <c r="B80" s="11" t="s">
        <v>24</v>
      </c>
      <c r="C80" s="20" t="s">
        <v>783</v>
      </c>
      <c r="D80" s="12" t="s">
        <v>544</v>
      </c>
      <c r="E80" s="20" t="s">
        <v>784</v>
      </c>
      <c r="F80" s="12" t="s">
        <v>32</v>
      </c>
      <c r="G80" s="10" t="s">
        <v>292</v>
      </c>
      <c r="H80" s="11" t="str">
        <f aca="false">IF(G80="","",IFERROR(INDEX(Productos!$B:$B,MATCH(G80,Productos!$A:$A,0)),""))</f>
        <v>Galletas Saltín</v>
      </c>
      <c r="I80" s="11" t="s">
        <v>550</v>
      </c>
      <c r="J80" s="12" t="n">
        <f aca="false">IF(F80="Fácil",10,IF(F80="Media",20,30))</f>
        <v>10</v>
      </c>
      <c r="K80" s="12" t="s">
        <v>330</v>
      </c>
    </row>
    <row r="81" customFormat="false" ht="15" hidden="false" customHeight="false" outlineLevel="0" collapsed="false">
      <c r="A81" s="11" t="s">
        <v>785</v>
      </c>
      <c r="B81" s="11" t="s">
        <v>28</v>
      </c>
      <c r="C81" s="20" t="s">
        <v>786</v>
      </c>
      <c r="D81" s="12" t="s">
        <v>535</v>
      </c>
      <c r="E81" s="20" t="s">
        <v>787</v>
      </c>
      <c r="F81" s="12" t="s">
        <v>32</v>
      </c>
      <c r="G81" s="10" t="s">
        <v>168</v>
      </c>
      <c r="H81" s="11" t="str">
        <f aca="false">IF(G81="","",IFERROR(INDEX(Productos!$B:$B,MATCH(G81,Productos!$A:$A,0)),""))</f>
        <v>Panela cuadrada</v>
      </c>
      <c r="I81" s="11" t="s">
        <v>554</v>
      </c>
      <c r="J81" s="12" t="n">
        <f aca="false">IF(F81="Fácil",10,IF(F81="Media",20,30))</f>
        <v>10</v>
      </c>
      <c r="K81" s="12" t="s">
        <v>330</v>
      </c>
    </row>
    <row r="82" customFormat="false" ht="15" hidden="false" customHeight="false" outlineLevel="0" collapsed="false">
      <c r="A82" s="11" t="s">
        <v>788</v>
      </c>
      <c r="B82" s="11" t="s">
        <v>25</v>
      </c>
      <c r="C82" s="20" t="s">
        <v>789</v>
      </c>
      <c r="D82" s="12" t="s">
        <v>535</v>
      </c>
      <c r="E82" s="20" t="s">
        <v>790</v>
      </c>
      <c r="F82" s="12" t="s">
        <v>34</v>
      </c>
      <c r="G82" s="10" t="s">
        <v>98</v>
      </c>
      <c r="H82" s="11" t="str">
        <f aca="false">IF(G82="","",IFERROR(INDEX(Productos!$B:$B,MATCH(G82,Productos!$A:$A,0)),""))</f>
        <v>Mango Tommy</v>
      </c>
      <c r="I82" s="11" t="s">
        <v>566</v>
      </c>
      <c r="J82" s="12" t="n">
        <f aca="false">IF(F82="Fácil",10,IF(F82="Media",20,30))</f>
        <v>30</v>
      </c>
      <c r="K82" s="12" t="s">
        <v>330</v>
      </c>
    </row>
    <row r="83" customFormat="false" ht="15" hidden="false" customHeight="false" outlineLevel="0" collapsed="false">
      <c r="A83" s="11" t="s">
        <v>791</v>
      </c>
      <c r="B83" s="11" t="s">
        <v>25</v>
      </c>
      <c r="C83" s="20" t="s">
        <v>792</v>
      </c>
      <c r="D83" s="12" t="s">
        <v>535</v>
      </c>
      <c r="E83" s="20" t="s">
        <v>793</v>
      </c>
      <c r="F83" s="12" t="s">
        <v>34</v>
      </c>
      <c r="G83" s="10" t="s">
        <v>186</v>
      </c>
      <c r="H83" s="11" t="str">
        <f aca="false">IF(G83="","",IFERROR(INDEX(Productos!$B:$B,MATCH(G83,Productos!$A:$A,0)),""))</f>
        <v>Café instantáneo clásico</v>
      </c>
      <c r="I83" s="11" t="s">
        <v>562</v>
      </c>
      <c r="J83" s="12" t="n">
        <f aca="false">IF(F83="Fácil",10,IF(F83="Media",20,30))</f>
        <v>30</v>
      </c>
      <c r="K83" s="12" t="s">
        <v>330</v>
      </c>
    </row>
    <row r="84" customFormat="false" ht="15" hidden="false" customHeight="false" outlineLevel="0" collapsed="false">
      <c r="A84" s="11" t="s">
        <v>794</v>
      </c>
      <c r="B84" s="11" t="s">
        <v>29</v>
      </c>
      <c r="C84" s="20" t="s">
        <v>795</v>
      </c>
      <c r="D84" s="12" t="s">
        <v>544</v>
      </c>
      <c r="E84" s="20" t="s">
        <v>796</v>
      </c>
      <c r="F84" s="12" t="s">
        <v>32</v>
      </c>
      <c r="G84" s="10"/>
      <c r="H84" s="11" t="str">
        <f aca="false">IF(G84="","",IFERROR(INDEX(Productos!$B:$B,MATCH(G84,Productos!$A:$A,0)),""))</f>
        <v/>
      </c>
      <c r="I84" s="11" t="s">
        <v>624</v>
      </c>
      <c r="J84" s="12" t="n">
        <f aca="false">IF(F84="Fácil",10,IF(F84="Media",20,30))</f>
        <v>10</v>
      </c>
      <c r="K84" s="12" t="s">
        <v>330</v>
      </c>
    </row>
    <row r="85" customFormat="false" ht="15" hidden="false" customHeight="false" outlineLevel="0" collapsed="false">
      <c r="A85" s="11" t="s">
        <v>797</v>
      </c>
      <c r="B85" s="11" t="s">
        <v>25</v>
      </c>
      <c r="C85" s="20" t="s">
        <v>798</v>
      </c>
      <c r="D85" s="12" t="s">
        <v>544</v>
      </c>
      <c r="E85" s="20" t="s">
        <v>799</v>
      </c>
      <c r="F85" s="12" t="s">
        <v>34</v>
      </c>
      <c r="G85" s="10" t="s">
        <v>265</v>
      </c>
      <c r="H85" s="11" t="str">
        <f aca="false">IF(G85="","",IFERROR(INDEX(Productos!$B:$B,MATCH(G85,Productos!$A:$A,0)),""))</f>
        <v>Bon Bon Bum surtido</v>
      </c>
      <c r="I85" s="11" t="s">
        <v>562</v>
      </c>
      <c r="J85" s="12" t="n">
        <f aca="false">IF(F85="Fácil",10,IF(F85="Media",20,30))</f>
        <v>30</v>
      </c>
      <c r="K85" s="12" t="s">
        <v>330</v>
      </c>
    </row>
    <row r="86" customFormat="false" ht="23.85" hidden="false" customHeight="false" outlineLevel="0" collapsed="false">
      <c r="A86" s="11" t="s">
        <v>800</v>
      </c>
      <c r="B86" s="11" t="s">
        <v>30</v>
      </c>
      <c r="C86" s="20" t="s">
        <v>801</v>
      </c>
      <c r="D86" s="12" t="s">
        <v>535</v>
      </c>
      <c r="E86" s="20" t="s">
        <v>802</v>
      </c>
      <c r="F86" s="12" t="s">
        <v>33</v>
      </c>
      <c r="G86" s="10"/>
      <c r="H86" s="11" t="str">
        <f aca="false">IF(G86="","",IFERROR(INDEX(Productos!$B:$B,MATCH(G86,Productos!$A:$A,0)),""))</f>
        <v/>
      </c>
      <c r="I86" s="11" t="s">
        <v>558</v>
      </c>
      <c r="J86" s="12" t="n">
        <f aca="false">IF(F86="Fácil",10,IF(F86="Media",20,30))</f>
        <v>20</v>
      </c>
      <c r="K86" s="12" t="s">
        <v>330</v>
      </c>
    </row>
    <row r="87" customFormat="false" ht="15" hidden="false" customHeight="false" outlineLevel="0" collapsed="false">
      <c r="A87" s="11" t="s">
        <v>803</v>
      </c>
      <c r="B87" s="11" t="s">
        <v>25</v>
      </c>
      <c r="C87" s="20" t="s">
        <v>804</v>
      </c>
      <c r="D87" s="12" t="s">
        <v>535</v>
      </c>
      <c r="E87" s="20" t="s">
        <v>805</v>
      </c>
      <c r="F87" s="12" t="s">
        <v>34</v>
      </c>
      <c r="G87" s="10" t="s">
        <v>202</v>
      </c>
      <c r="H87" s="11" t="str">
        <f aca="false">IF(G87="","",IFERROR(INDEX(Productos!$B:$B,MATCH(G87,Productos!$A:$A,0)),""))</f>
        <v>Aceite de girasol</v>
      </c>
      <c r="I87" s="11" t="s">
        <v>566</v>
      </c>
      <c r="J87" s="12" t="n">
        <f aca="false">IF(F87="Fácil",10,IF(F87="Media",20,30))</f>
        <v>30</v>
      </c>
      <c r="K87" s="12" t="s">
        <v>330</v>
      </c>
    </row>
    <row r="88" customFormat="false" ht="23.85" hidden="false" customHeight="false" outlineLevel="0" collapsed="false">
      <c r="A88" s="11" t="s">
        <v>806</v>
      </c>
      <c r="B88" s="11" t="s">
        <v>24</v>
      </c>
      <c r="C88" s="20" t="s">
        <v>807</v>
      </c>
      <c r="D88" s="12" t="s">
        <v>544</v>
      </c>
      <c r="E88" s="20" t="s">
        <v>808</v>
      </c>
      <c r="F88" s="12" t="s">
        <v>32</v>
      </c>
      <c r="G88" s="10" t="s">
        <v>186</v>
      </c>
      <c r="H88" s="11" t="str">
        <f aca="false">IF(G88="","",IFERROR(INDEX(Productos!$B:$B,MATCH(G88,Productos!$A:$A,0)),""))</f>
        <v>Café instantáneo clásico</v>
      </c>
      <c r="I88" s="11" t="s">
        <v>550</v>
      </c>
      <c r="J88" s="12" t="n">
        <f aca="false">IF(F88="Fácil",10,IF(F88="Media",20,30))</f>
        <v>10</v>
      </c>
      <c r="K88" s="12" t="s">
        <v>330</v>
      </c>
    </row>
    <row r="89" customFormat="false" ht="23.85" hidden="false" customHeight="false" outlineLevel="0" collapsed="false">
      <c r="A89" s="11" t="s">
        <v>809</v>
      </c>
      <c r="B89" s="11" t="s">
        <v>28</v>
      </c>
      <c r="C89" s="20" t="s">
        <v>810</v>
      </c>
      <c r="D89" s="12" t="s">
        <v>544</v>
      </c>
      <c r="E89" s="20" t="s">
        <v>811</v>
      </c>
      <c r="F89" s="12" t="s">
        <v>32</v>
      </c>
      <c r="G89" s="10" t="s">
        <v>265</v>
      </c>
      <c r="H89" s="11" t="str">
        <f aca="false">IF(G89="","",IFERROR(INDEX(Productos!$B:$B,MATCH(G89,Productos!$A:$A,0)),""))</f>
        <v>Bon Bon Bum surtido</v>
      </c>
      <c r="I89" s="11" t="s">
        <v>554</v>
      </c>
      <c r="J89" s="12" t="n">
        <f aca="false">IF(F89="Fácil",10,IF(F89="Media",20,30))</f>
        <v>10</v>
      </c>
      <c r="K89" s="12" t="s">
        <v>330</v>
      </c>
    </row>
    <row r="90" customFormat="false" ht="15" hidden="false" customHeight="false" outlineLevel="0" collapsed="false">
      <c r="A90" s="11" t="s">
        <v>812</v>
      </c>
      <c r="B90" s="11" t="s">
        <v>25</v>
      </c>
      <c r="C90" s="20" t="s">
        <v>813</v>
      </c>
      <c r="D90" s="12" t="s">
        <v>544</v>
      </c>
      <c r="E90" s="20" t="s">
        <v>814</v>
      </c>
      <c r="F90" s="12" t="s">
        <v>34</v>
      </c>
      <c r="G90" s="10" t="s">
        <v>302</v>
      </c>
      <c r="H90" s="11" t="str">
        <f aca="false">IF(G90="","",IFERROR(INDEX(Productos!$B:$B,MATCH(G90,Productos!$A:$A,0)),""))</f>
        <v>Papel higiénico</v>
      </c>
      <c r="I90" s="11" t="s">
        <v>562</v>
      </c>
      <c r="J90" s="12" t="n">
        <f aca="false">IF(F90="Fácil",10,IF(F90="Media",20,30))</f>
        <v>30</v>
      </c>
      <c r="K90" s="12" t="s">
        <v>330</v>
      </c>
    </row>
    <row r="91" customFormat="false" ht="23.85" hidden="false" customHeight="false" outlineLevel="0" collapsed="false">
      <c r="A91" s="11" t="s">
        <v>815</v>
      </c>
      <c r="B91" s="11" t="s">
        <v>29</v>
      </c>
      <c r="C91" s="20" t="s">
        <v>816</v>
      </c>
      <c r="D91" s="12" t="s">
        <v>544</v>
      </c>
      <c r="E91" s="20" t="s">
        <v>817</v>
      </c>
      <c r="F91" s="12" t="s">
        <v>33</v>
      </c>
      <c r="G91" s="10" t="s">
        <v>228</v>
      </c>
      <c r="H91" s="11" t="str">
        <f aca="false">IF(G91="","",IFERROR(INDEX(Productos!$B:$B,MATCH(G91,Productos!$A:$A,0)),""))</f>
        <v>Arequipe</v>
      </c>
      <c r="I91" s="11" t="s">
        <v>620</v>
      </c>
      <c r="J91" s="12" t="n">
        <f aca="false">IF(F91="Fácil",10,IF(F91="Media",20,30))</f>
        <v>20</v>
      </c>
      <c r="K91" s="12" t="s">
        <v>330</v>
      </c>
    </row>
    <row r="92" customFormat="false" ht="23.85" hidden="false" customHeight="false" outlineLevel="0" collapsed="false">
      <c r="A92" s="11" t="s">
        <v>818</v>
      </c>
      <c r="B92" s="11" t="s">
        <v>30</v>
      </c>
      <c r="C92" s="20" t="s">
        <v>819</v>
      </c>
      <c r="D92" s="12" t="s">
        <v>544</v>
      </c>
      <c r="E92" s="20" t="s">
        <v>820</v>
      </c>
      <c r="F92" s="12" t="s">
        <v>32</v>
      </c>
      <c r="G92" s="10"/>
      <c r="H92" s="11" t="str">
        <f aca="false">IF(G92="","",IFERROR(INDEX(Productos!$B:$B,MATCH(G92,Productos!$A:$A,0)),""))</f>
        <v/>
      </c>
      <c r="I92" s="11" t="s">
        <v>558</v>
      </c>
      <c r="J92" s="12" t="n">
        <f aca="false">IF(F92="Fácil",10,IF(F92="Media",20,30))</f>
        <v>10</v>
      </c>
      <c r="K92" s="12" t="s">
        <v>330</v>
      </c>
    </row>
    <row r="93" customFormat="false" ht="15" hidden="false" customHeight="false" outlineLevel="0" collapsed="false">
      <c r="A93" s="11" t="s">
        <v>821</v>
      </c>
      <c r="B93" s="11" t="s">
        <v>29</v>
      </c>
      <c r="C93" s="20" t="s">
        <v>822</v>
      </c>
      <c r="D93" s="12" t="s">
        <v>544</v>
      </c>
      <c r="E93" s="20" t="s">
        <v>823</v>
      </c>
      <c r="F93" s="12" t="s">
        <v>33</v>
      </c>
      <c r="G93" s="10"/>
      <c r="H93" s="11" t="str">
        <f aca="false">IF(G93="","",IFERROR(INDEX(Productos!$B:$B,MATCH(G93,Productos!$A:$A,0)),""))</f>
        <v/>
      </c>
      <c r="I93" s="11" t="s">
        <v>573</v>
      </c>
      <c r="J93" s="12" t="n">
        <f aca="false">IF(F93="Fácil",10,IF(F93="Media",20,30))</f>
        <v>20</v>
      </c>
      <c r="K93" s="12" t="s">
        <v>330</v>
      </c>
    </row>
    <row r="94" customFormat="false" ht="15" hidden="false" customHeight="false" outlineLevel="0" collapsed="false">
      <c r="A94" s="11" t="s">
        <v>824</v>
      </c>
      <c r="B94" s="11" t="s">
        <v>25</v>
      </c>
      <c r="C94" s="20" t="s">
        <v>825</v>
      </c>
      <c r="D94" s="12" t="s">
        <v>535</v>
      </c>
      <c r="E94" s="20" t="s">
        <v>826</v>
      </c>
      <c r="F94" s="12" t="s">
        <v>34</v>
      </c>
      <c r="G94" s="10" t="s">
        <v>275</v>
      </c>
      <c r="H94" s="11" t="str">
        <f aca="false">IF(G94="","",IFERROR(INDEX(Productos!$B:$B,MATCH(G94,Productos!$A:$A,0)),""))</f>
        <v>Chocolatina Jet</v>
      </c>
      <c r="I94" s="11" t="s">
        <v>562</v>
      </c>
      <c r="J94" s="12" t="n">
        <f aca="false">IF(F94="Fácil",10,IF(F94="Media",20,30))</f>
        <v>30</v>
      </c>
      <c r="K94" s="12" t="s">
        <v>330</v>
      </c>
    </row>
    <row r="95" customFormat="false" ht="23.85" hidden="false" customHeight="false" outlineLevel="0" collapsed="false">
      <c r="A95" s="11" t="s">
        <v>827</v>
      </c>
      <c r="B95" s="11" t="s">
        <v>24</v>
      </c>
      <c r="C95" s="20" t="s">
        <v>828</v>
      </c>
      <c r="D95" s="12" t="s">
        <v>535</v>
      </c>
      <c r="E95" s="20" t="s">
        <v>829</v>
      </c>
      <c r="F95" s="12" t="s">
        <v>32</v>
      </c>
      <c r="G95" s="10" t="s">
        <v>194</v>
      </c>
      <c r="H95" s="11" t="str">
        <f aca="false">IF(G95="","",IFERROR(INDEX(Productos!$B:$B,MATCH(G95,Productos!$A:$A,0)),""))</f>
        <v>Chocolate de mesa</v>
      </c>
      <c r="I95" s="11" t="s">
        <v>550</v>
      </c>
      <c r="J95" s="12" t="n">
        <f aca="false">IF(F95="Fácil",10,IF(F95="Media",20,30))</f>
        <v>10</v>
      </c>
      <c r="K95" s="12" t="s">
        <v>330</v>
      </c>
    </row>
    <row r="96" customFormat="false" ht="15" hidden="false" customHeight="false" outlineLevel="0" collapsed="false">
      <c r="A96" s="11" t="s">
        <v>830</v>
      </c>
      <c r="B96" s="11" t="s">
        <v>28</v>
      </c>
      <c r="C96" s="20" t="s">
        <v>831</v>
      </c>
      <c r="D96" s="12" t="s">
        <v>535</v>
      </c>
      <c r="E96" s="20" t="s">
        <v>832</v>
      </c>
      <c r="F96" s="12" t="s">
        <v>32</v>
      </c>
      <c r="G96" s="10" t="s">
        <v>275</v>
      </c>
      <c r="H96" s="11" t="str">
        <f aca="false">IF(G96="","",IFERROR(INDEX(Productos!$B:$B,MATCH(G96,Productos!$A:$A,0)),""))</f>
        <v>Chocolatina Jet</v>
      </c>
      <c r="I96" s="11" t="s">
        <v>554</v>
      </c>
      <c r="J96" s="12" t="n">
        <f aca="false">IF(F96="Fácil",10,IF(F96="Media",20,30))</f>
        <v>10</v>
      </c>
      <c r="K96" s="12" t="s">
        <v>330</v>
      </c>
    </row>
    <row r="97" customFormat="false" ht="23.85" hidden="false" customHeight="false" outlineLevel="0" collapsed="false">
      <c r="A97" s="11" t="s">
        <v>833</v>
      </c>
      <c r="B97" s="11" t="s">
        <v>24</v>
      </c>
      <c r="C97" s="20" t="s">
        <v>834</v>
      </c>
      <c r="D97" s="12" t="s">
        <v>544</v>
      </c>
      <c r="E97" s="20" t="s">
        <v>835</v>
      </c>
      <c r="F97" s="12" t="s">
        <v>32</v>
      </c>
      <c r="G97" s="10" t="s">
        <v>48</v>
      </c>
      <c r="H97" s="11" t="str">
        <f aca="false">IF(G97="","",IFERROR(INDEX(Productos!$B:$B,MATCH(G97,Productos!$A:$A,0)),""))</f>
        <v>Banano premium</v>
      </c>
      <c r="I97" s="11" t="s">
        <v>546</v>
      </c>
      <c r="J97" s="12" t="n">
        <f aca="false">IF(F97="Fácil",10,IF(F97="Media",20,30))</f>
        <v>10</v>
      </c>
      <c r="K97" s="12" t="s">
        <v>330</v>
      </c>
    </row>
    <row r="98" customFormat="false" ht="15" hidden="false" customHeight="false" outlineLevel="0" collapsed="false">
      <c r="A98" s="11" t="s">
        <v>836</v>
      </c>
      <c r="B98" s="11" t="s">
        <v>27</v>
      </c>
      <c r="C98" s="20" t="s">
        <v>837</v>
      </c>
      <c r="D98" s="12" t="s">
        <v>535</v>
      </c>
      <c r="E98" s="20" t="s">
        <v>838</v>
      </c>
      <c r="F98" s="12" t="s">
        <v>33</v>
      </c>
      <c r="G98" s="10" t="s">
        <v>124</v>
      </c>
      <c r="H98" s="11" t="str">
        <f aca="false">IF(G98="","",IFERROR(INDEX(Productos!$B:$B,MATCH(G98,Productos!$A:$A,0)),""))</f>
        <v>Yogurt entero</v>
      </c>
      <c r="I98" s="11" t="s">
        <v>541</v>
      </c>
      <c r="J98" s="12" t="n">
        <f aca="false">IF(F98="Fácil",10,IF(F98="Media",20,30))</f>
        <v>20</v>
      </c>
      <c r="K98" s="12" t="s">
        <v>330</v>
      </c>
    </row>
    <row r="99" customFormat="false" ht="15" hidden="false" customHeight="false" outlineLevel="0" collapsed="false">
      <c r="A99" s="11" t="s">
        <v>839</v>
      </c>
      <c r="B99" s="11" t="s">
        <v>25</v>
      </c>
      <c r="C99" s="20" t="s">
        <v>840</v>
      </c>
      <c r="D99" s="12" t="s">
        <v>544</v>
      </c>
      <c r="E99" s="20" t="s">
        <v>841</v>
      </c>
      <c r="F99" s="12" t="s">
        <v>34</v>
      </c>
      <c r="G99" s="10" t="s">
        <v>244</v>
      </c>
      <c r="H99" s="11" t="str">
        <f aca="false">IF(G99="","",IFERROR(INDEX(Productos!$B:$B,MATCH(G99,Productos!$A:$A,0)),""))</f>
        <v>Gaseosa Colombiana</v>
      </c>
      <c r="I99" s="11" t="s">
        <v>562</v>
      </c>
      <c r="J99" s="12" t="n">
        <f aca="false">IF(F99="Fácil",10,IF(F99="Media",20,30))</f>
        <v>30</v>
      </c>
      <c r="K99" s="12" t="s">
        <v>330</v>
      </c>
    </row>
    <row r="100" customFormat="false" ht="23.85" hidden="false" customHeight="false" outlineLevel="0" collapsed="false">
      <c r="A100" s="11" t="s">
        <v>842</v>
      </c>
      <c r="B100" s="11" t="s">
        <v>26</v>
      </c>
      <c r="C100" s="20" t="s">
        <v>843</v>
      </c>
      <c r="D100" s="12" t="s">
        <v>544</v>
      </c>
      <c r="E100" s="20" t="s">
        <v>844</v>
      </c>
      <c r="F100" s="12" t="s">
        <v>33</v>
      </c>
      <c r="G100" s="10" t="s">
        <v>149</v>
      </c>
      <c r="H100" s="11" t="str">
        <f aca="false">IF(G100="","",IFERROR(INDEX(Productos!$B:$B,MATCH(G100,Productos!$A:$A,0)),""))</f>
        <v>Pulpa de mora congelada</v>
      </c>
      <c r="I100" s="11" t="s">
        <v>613</v>
      </c>
      <c r="J100" s="12" t="n">
        <f aca="false">IF(F100="Fácil",10,IF(F100="Media",20,30))</f>
        <v>20</v>
      </c>
      <c r="K100" s="12" t="s">
        <v>330</v>
      </c>
    </row>
    <row r="101" customFormat="false" ht="23.85" hidden="false" customHeight="false" outlineLevel="0" collapsed="false">
      <c r="A101" s="11" t="s">
        <v>845</v>
      </c>
      <c r="B101" s="11" t="s">
        <v>30</v>
      </c>
      <c r="C101" s="20" t="s">
        <v>846</v>
      </c>
      <c r="D101" s="12" t="s">
        <v>544</v>
      </c>
      <c r="E101" s="20" t="s">
        <v>847</v>
      </c>
      <c r="F101" s="12" t="s">
        <v>32</v>
      </c>
      <c r="G101" s="10"/>
      <c r="H101" s="11" t="str">
        <f aca="false">IF(G101="","",IFERROR(INDEX(Productos!$B:$B,MATCH(G101,Productos!$A:$A,0)),""))</f>
        <v/>
      </c>
      <c r="I101" s="11" t="s">
        <v>558</v>
      </c>
      <c r="J101" s="12" t="n">
        <f aca="false">IF(F101="Fácil",10,IF(F101="Media",20,30))</f>
        <v>10</v>
      </c>
      <c r="K101" s="12" t="s">
        <v>330</v>
      </c>
    </row>
    <row r="102" customFormat="false" ht="23.85" hidden="false" customHeight="false" outlineLevel="0" collapsed="false">
      <c r="A102" s="11" t="s">
        <v>848</v>
      </c>
      <c r="B102" s="11" t="s">
        <v>29</v>
      </c>
      <c r="C102" s="20" t="s">
        <v>849</v>
      </c>
      <c r="D102" s="12" t="s">
        <v>544</v>
      </c>
      <c r="E102" s="20" t="s">
        <v>850</v>
      </c>
      <c r="F102" s="12" t="s">
        <v>33</v>
      </c>
      <c r="G102" s="10" t="s">
        <v>113</v>
      </c>
      <c r="H102" s="11" t="str">
        <f aca="false">IF(G102="","",IFERROR(INDEX(Productos!$B:$B,MATCH(G102,Productos!$A:$A,0)),""))</f>
        <v>Leche entera pasteurizada</v>
      </c>
      <c r="I102" s="11" t="s">
        <v>620</v>
      </c>
      <c r="J102" s="12" t="n">
        <f aca="false">IF(F102="Fácil",10,IF(F102="Media",20,30))</f>
        <v>20</v>
      </c>
      <c r="K102" s="12" t="s">
        <v>330</v>
      </c>
    </row>
    <row r="103" customFormat="false" ht="23.85" hidden="false" customHeight="false" outlineLevel="0" collapsed="false">
      <c r="A103" s="11" t="s">
        <v>851</v>
      </c>
      <c r="B103" s="11" t="s">
        <v>30</v>
      </c>
      <c r="C103" s="20" t="s">
        <v>852</v>
      </c>
      <c r="D103" s="12" t="s">
        <v>535</v>
      </c>
      <c r="E103" s="20" t="s">
        <v>853</v>
      </c>
      <c r="F103" s="12" t="s">
        <v>33</v>
      </c>
      <c r="G103" s="10"/>
      <c r="H103" s="11" t="str">
        <f aca="false">IF(G103="","",IFERROR(INDEX(Productos!$B:$B,MATCH(G103,Productos!$A:$A,0)),""))</f>
        <v/>
      </c>
      <c r="I103" s="11" t="s">
        <v>558</v>
      </c>
      <c r="J103" s="12" t="n">
        <f aca="false">IF(F103="Fácil",10,IF(F103="Media",20,30))</f>
        <v>20</v>
      </c>
      <c r="K103" s="12" t="s">
        <v>330</v>
      </c>
    </row>
    <row r="104" customFormat="false" ht="15" hidden="false" customHeight="false" outlineLevel="0" collapsed="false">
      <c r="A104" s="11" t="s">
        <v>854</v>
      </c>
      <c r="B104" s="11" t="s">
        <v>28</v>
      </c>
      <c r="C104" s="20" t="s">
        <v>855</v>
      </c>
      <c r="D104" s="12" t="s">
        <v>535</v>
      </c>
      <c r="E104" s="20" t="s">
        <v>856</v>
      </c>
      <c r="F104" s="12" t="s">
        <v>32</v>
      </c>
      <c r="G104" s="10" t="s">
        <v>186</v>
      </c>
      <c r="H104" s="11" t="str">
        <f aca="false">IF(G104="","",IFERROR(INDEX(Productos!$B:$B,MATCH(G104,Productos!$A:$A,0)),""))</f>
        <v>Café instantáneo clásico</v>
      </c>
      <c r="I104" s="11" t="s">
        <v>554</v>
      </c>
      <c r="J104" s="12" t="n">
        <f aca="false">IF(F104="Fácil",10,IF(F104="Media",20,30))</f>
        <v>10</v>
      </c>
      <c r="K104" s="12" t="s">
        <v>330</v>
      </c>
    </row>
    <row r="105" customFormat="false" ht="15" hidden="false" customHeight="false" outlineLevel="0" collapsed="false">
      <c r="A105" s="11" t="s">
        <v>857</v>
      </c>
      <c r="B105" s="11" t="s">
        <v>25</v>
      </c>
      <c r="C105" s="20" t="s">
        <v>858</v>
      </c>
      <c r="D105" s="12" t="s">
        <v>544</v>
      </c>
      <c r="E105" s="20" t="s">
        <v>859</v>
      </c>
      <c r="F105" s="12" t="s">
        <v>34</v>
      </c>
      <c r="G105" s="10" t="s">
        <v>137</v>
      </c>
      <c r="H105" s="11" t="str">
        <f aca="false">IF(G105="","",IFERROR(INDEX(Productos!$B:$B,MATCH(G105,Productos!$A:$A,0)),""))</f>
        <v>Salchichas tipo Viena</v>
      </c>
      <c r="I105" s="11" t="s">
        <v>562</v>
      </c>
      <c r="J105" s="12" t="n">
        <f aca="false">IF(F105="Fácil",10,IF(F105="Media",20,30))</f>
        <v>30</v>
      </c>
      <c r="K105" s="12" t="s">
        <v>330</v>
      </c>
    </row>
    <row r="106" customFormat="false" ht="23.85" hidden="false" customHeight="false" outlineLevel="0" collapsed="false">
      <c r="A106" s="11" t="s">
        <v>860</v>
      </c>
      <c r="B106" s="11" t="s">
        <v>24</v>
      </c>
      <c r="C106" s="20" t="s">
        <v>861</v>
      </c>
      <c r="D106" s="12" t="s">
        <v>535</v>
      </c>
      <c r="E106" s="20" t="s">
        <v>862</v>
      </c>
      <c r="F106" s="12" t="s">
        <v>32</v>
      </c>
      <c r="G106" s="10" t="s">
        <v>265</v>
      </c>
      <c r="H106" s="11" t="str">
        <f aca="false">IF(G106="","",IFERROR(INDEX(Productos!$B:$B,MATCH(G106,Productos!$A:$A,0)),""))</f>
        <v>Bon Bon Bum surtido</v>
      </c>
      <c r="I106" s="11" t="s">
        <v>550</v>
      </c>
      <c r="J106" s="12" t="n">
        <f aca="false">IF(F106="Fácil",10,IF(F106="Media",20,30))</f>
        <v>10</v>
      </c>
      <c r="K106" s="12" t="s">
        <v>330</v>
      </c>
    </row>
    <row r="107" customFormat="false" ht="15" hidden="false" customHeight="false" outlineLevel="0" collapsed="false">
      <c r="A107" s="11" t="s">
        <v>863</v>
      </c>
      <c r="B107" s="11" t="s">
        <v>29</v>
      </c>
      <c r="C107" s="20" t="s">
        <v>864</v>
      </c>
      <c r="D107" s="12" t="s">
        <v>544</v>
      </c>
      <c r="E107" s="20" t="s">
        <v>865</v>
      </c>
      <c r="F107" s="12" t="s">
        <v>33</v>
      </c>
      <c r="G107" s="10"/>
      <c r="H107" s="11" t="str">
        <f aca="false">IF(G107="","",IFERROR(INDEX(Productos!$B:$B,MATCH(G107,Productos!$A:$A,0)),""))</f>
        <v/>
      </c>
      <c r="I107" s="11" t="s">
        <v>573</v>
      </c>
      <c r="J107" s="12" t="n">
        <f aca="false">IF(F107="Fácil",10,IF(F107="Media",20,30))</f>
        <v>20</v>
      </c>
      <c r="K107" s="12" t="s">
        <v>330</v>
      </c>
    </row>
    <row r="108" customFormat="false" ht="23.85" hidden="false" customHeight="false" outlineLevel="0" collapsed="false">
      <c r="A108" s="11" t="s">
        <v>866</v>
      </c>
      <c r="B108" s="11" t="s">
        <v>24</v>
      </c>
      <c r="C108" s="20" t="s">
        <v>867</v>
      </c>
      <c r="D108" s="12" t="s">
        <v>535</v>
      </c>
      <c r="E108" s="20" t="s">
        <v>868</v>
      </c>
      <c r="F108" s="12" t="s">
        <v>32</v>
      </c>
      <c r="G108" s="10" t="s">
        <v>124</v>
      </c>
      <c r="H108" s="11" t="str">
        <f aca="false">IF(G108="","",IFERROR(INDEX(Productos!$B:$B,MATCH(G108,Productos!$A:$A,0)),""))</f>
        <v>Yogurt entero</v>
      </c>
      <c r="I108" s="11" t="s">
        <v>546</v>
      </c>
      <c r="J108" s="12" t="n">
        <f aca="false">IF(F108="Fácil",10,IF(F108="Media",20,30))</f>
        <v>10</v>
      </c>
      <c r="K108" s="12" t="s">
        <v>330</v>
      </c>
    </row>
    <row r="109" customFormat="false" ht="23.85" hidden="false" customHeight="false" outlineLevel="0" collapsed="false">
      <c r="A109" s="11" t="s">
        <v>869</v>
      </c>
      <c r="B109" s="11" t="s">
        <v>27</v>
      </c>
      <c r="C109" s="20" t="s">
        <v>870</v>
      </c>
      <c r="D109" s="12" t="s">
        <v>535</v>
      </c>
      <c r="E109" s="20" t="s">
        <v>871</v>
      </c>
      <c r="F109" s="12" t="s">
        <v>33</v>
      </c>
      <c r="G109" s="10" t="s">
        <v>194</v>
      </c>
      <c r="H109" s="11" t="str">
        <f aca="false">IF(G109="","",IFERROR(INDEX(Productos!$B:$B,MATCH(G109,Productos!$A:$A,0)),""))</f>
        <v>Chocolate de mesa</v>
      </c>
      <c r="I109" s="11" t="s">
        <v>541</v>
      </c>
      <c r="J109" s="12" t="n">
        <f aca="false">IF(F109="Fácil",10,IF(F109="Media",20,30))</f>
        <v>20</v>
      </c>
      <c r="K109" s="12" t="s">
        <v>330</v>
      </c>
    </row>
    <row r="110" customFormat="false" ht="15" hidden="false" customHeight="false" outlineLevel="0" collapsed="false">
      <c r="A110" s="11" t="s">
        <v>872</v>
      </c>
      <c r="B110" s="11" t="s">
        <v>25</v>
      </c>
      <c r="C110" s="20" t="s">
        <v>873</v>
      </c>
      <c r="D110" s="12" t="s">
        <v>544</v>
      </c>
      <c r="E110" s="20" t="s">
        <v>874</v>
      </c>
      <c r="F110" s="12" t="s">
        <v>34</v>
      </c>
      <c r="G110" s="10" t="s">
        <v>228</v>
      </c>
      <c r="H110" s="11" t="str">
        <f aca="false">IF(G110="","",IFERROR(INDEX(Productos!$B:$B,MATCH(G110,Productos!$A:$A,0)),""))</f>
        <v>Arequipe</v>
      </c>
      <c r="I110" s="11" t="s">
        <v>566</v>
      </c>
      <c r="J110" s="12" t="n">
        <f aca="false">IF(F110="Fácil",10,IF(F110="Media",20,30))</f>
        <v>30</v>
      </c>
      <c r="K110" s="12" t="s">
        <v>330</v>
      </c>
    </row>
    <row r="111" customFormat="false" ht="15" hidden="false" customHeight="false" outlineLevel="0" collapsed="false">
      <c r="A111" s="11" t="s">
        <v>875</v>
      </c>
      <c r="B111" s="11" t="s">
        <v>25</v>
      </c>
      <c r="C111" s="20" t="s">
        <v>876</v>
      </c>
      <c r="D111" s="12" t="s">
        <v>544</v>
      </c>
      <c r="E111" s="20" t="s">
        <v>877</v>
      </c>
      <c r="F111" s="12" t="s">
        <v>34</v>
      </c>
      <c r="G111" s="10" t="s">
        <v>104</v>
      </c>
      <c r="H111" s="11" t="str">
        <f aca="false">IF(G111="","",IFERROR(INDEX(Productos!$B:$B,MATCH(G111,Productos!$A:$A,0)),""))</f>
        <v>Cebolla cabezona blanca</v>
      </c>
      <c r="I111" s="11" t="s">
        <v>562</v>
      </c>
      <c r="J111" s="12" t="n">
        <f aca="false">IF(F111="Fácil",10,IF(F111="Media",20,30))</f>
        <v>30</v>
      </c>
      <c r="K111" s="12" t="s">
        <v>330</v>
      </c>
    </row>
    <row r="112" customFormat="false" ht="23.85" hidden="false" customHeight="false" outlineLevel="0" collapsed="false">
      <c r="A112" s="11" t="s">
        <v>878</v>
      </c>
      <c r="B112" s="11" t="s">
        <v>29</v>
      </c>
      <c r="C112" s="20" t="s">
        <v>879</v>
      </c>
      <c r="D112" s="12" t="s">
        <v>535</v>
      </c>
      <c r="E112" s="20" t="s">
        <v>880</v>
      </c>
      <c r="F112" s="12" t="s">
        <v>33</v>
      </c>
      <c r="G112" s="10" t="s">
        <v>235</v>
      </c>
      <c r="H112" s="11" t="str">
        <f aca="false">IF(G112="","",IFERROR(INDEX(Productos!$B:$B,MATCH(G112,Productos!$A:$A,0)),""))</f>
        <v>Huevos AA</v>
      </c>
      <c r="I112" s="11" t="s">
        <v>620</v>
      </c>
      <c r="J112" s="12" t="n">
        <f aca="false">IF(F112="Fácil",10,IF(F112="Media",20,30))</f>
        <v>20</v>
      </c>
      <c r="K112" s="12" t="s">
        <v>330</v>
      </c>
    </row>
    <row r="113" customFormat="false" ht="15" hidden="false" customHeight="false" outlineLevel="0" collapsed="false">
      <c r="A113" s="11" t="s">
        <v>881</v>
      </c>
      <c r="B113" s="11" t="s">
        <v>28</v>
      </c>
      <c r="C113" s="20" t="s">
        <v>882</v>
      </c>
      <c r="D113" s="12" t="s">
        <v>544</v>
      </c>
      <c r="E113" s="20" t="s">
        <v>883</v>
      </c>
      <c r="F113" s="12" t="s">
        <v>32</v>
      </c>
      <c r="G113" s="10" t="s">
        <v>302</v>
      </c>
      <c r="H113" s="11" t="str">
        <f aca="false">IF(G113="","",IFERROR(INDEX(Productos!$B:$B,MATCH(G113,Productos!$A:$A,0)),""))</f>
        <v>Papel higiénico</v>
      </c>
      <c r="I113" s="11" t="s">
        <v>554</v>
      </c>
      <c r="J113" s="12" t="n">
        <f aca="false">IF(F113="Fácil",10,IF(F113="Media",20,30))</f>
        <v>10</v>
      </c>
      <c r="K113" s="12" t="s">
        <v>330</v>
      </c>
    </row>
    <row r="114" customFormat="false" ht="23.85" hidden="false" customHeight="false" outlineLevel="0" collapsed="false">
      <c r="A114" s="11" t="s">
        <v>884</v>
      </c>
      <c r="B114" s="11" t="s">
        <v>29</v>
      </c>
      <c r="C114" s="20" t="s">
        <v>885</v>
      </c>
      <c r="D114" s="12" t="s">
        <v>544</v>
      </c>
      <c r="E114" s="20" t="s">
        <v>886</v>
      </c>
      <c r="F114" s="12" t="s">
        <v>33</v>
      </c>
      <c r="G114" s="10" t="s">
        <v>98</v>
      </c>
      <c r="H114" s="11" t="str">
        <f aca="false">IF(G114="","",IFERROR(INDEX(Productos!$B:$B,MATCH(G114,Productos!$A:$A,0)),""))</f>
        <v>Mango Tommy</v>
      </c>
      <c r="I114" s="11" t="s">
        <v>620</v>
      </c>
      <c r="J114" s="12" t="n">
        <f aca="false">IF(F114="Fácil",10,IF(F114="Media",20,30))</f>
        <v>20</v>
      </c>
      <c r="K114" s="12" t="s">
        <v>330</v>
      </c>
    </row>
    <row r="115" customFormat="false" ht="15" hidden="false" customHeight="false" outlineLevel="0" collapsed="false">
      <c r="A115" s="11" t="s">
        <v>887</v>
      </c>
      <c r="B115" s="11" t="s">
        <v>27</v>
      </c>
      <c r="C115" s="20" t="s">
        <v>888</v>
      </c>
      <c r="D115" s="12" t="s">
        <v>535</v>
      </c>
      <c r="E115" s="20" t="s">
        <v>889</v>
      </c>
      <c r="F115" s="12" t="s">
        <v>33</v>
      </c>
      <c r="G115" s="10" t="s">
        <v>91</v>
      </c>
      <c r="H115" s="11" t="str">
        <f aca="false">IF(G115="","",IFERROR(INDEX(Productos!$B:$B,MATCH(G115,Productos!$A:$A,0)),""))</f>
        <v>Lulo</v>
      </c>
      <c r="I115" s="11" t="s">
        <v>541</v>
      </c>
      <c r="J115" s="12" t="n">
        <f aca="false">IF(F115="Fácil",10,IF(F115="Media",20,30))</f>
        <v>20</v>
      </c>
      <c r="K115" s="12" t="s">
        <v>330</v>
      </c>
    </row>
    <row r="116" customFormat="false" ht="15" hidden="false" customHeight="false" outlineLevel="0" collapsed="false">
      <c r="A116" s="11" t="s">
        <v>890</v>
      </c>
      <c r="B116" s="11" t="s">
        <v>28</v>
      </c>
      <c r="C116" s="20" t="s">
        <v>891</v>
      </c>
      <c r="D116" s="12" t="s">
        <v>544</v>
      </c>
      <c r="E116" s="20" t="s">
        <v>892</v>
      </c>
      <c r="F116" s="12" t="s">
        <v>32</v>
      </c>
      <c r="G116" s="10" t="s">
        <v>124</v>
      </c>
      <c r="H116" s="11" t="str">
        <f aca="false">IF(G116="","",IFERROR(INDEX(Productos!$B:$B,MATCH(G116,Productos!$A:$A,0)),""))</f>
        <v>Yogurt entero</v>
      </c>
      <c r="I116" s="11" t="s">
        <v>554</v>
      </c>
      <c r="J116" s="12" t="n">
        <f aca="false">IF(F116="Fácil",10,IF(F116="Media",20,30))</f>
        <v>10</v>
      </c>
      <c r="K116" s="12" t="s">
        <v>330</v>
      </c>
    </row>
    <row r="117" customFormat="false" ht="15" hidden="false" customHeight="false" outlineLevel="0" collapsed="false">
      <c r="A117" s="11" t="s">
        <v>893</v>
      </c>
      <c r="B117" s="11" t="s">
        <v>28</v>
      </c>
      <c r="C117" s="20" t="s">
        <v>894</v>
      </c>
      <c r="D117" s="12" t="s">
        <v>544</v>
      </c>
      <c r="E117" s="20" t="s">
        <v>895</v>
      </c>
      <c r="F117" s="12" t="s">
        <v>32</v>
      </c>
      <c r="G117" s="10" t="s">
        <v>91</v>
      </c>
      <c r="H117" s="11" t="str">
        <f aca="false">IF(G117="","",IFERROR(INDEX(Productos!$B:$B,MATCH(G117,Productos!$A:$A,0)),""))</f>
        <v>Lulo</v>
      </c>
      <c r="I117" s="11" t="s">
        <v>554</v>
      </c>
      <c r="J117" s="12" t="n">
        <f aca="false">IF(F117="Fácil",10,IF(F117="Media",20,30))</f>
        <v>10</v>
      </c>
      <c r="K117" s="12" t="s">
        <v>330</v>
      </c>
    </row>
    <row r="118" customFormat="false" ht="15" hidden="false" customHeight="false" outlineLevel="0" collapsed="false">
      <c r="A118" s="11" t="s">
        <v>896</v>
      </c>
      <c r="B118" s="11" t="s">
        <v>27</v>
      </c>
      <c r="C118" s="20" t="s">
        <v>897</v>
      </c>
      <c r="D118" s="12" t="s">
        <v>544</v>
      </c>
      <c r="E118" s="20" t="s">
        <v>898</v>
      </c>
      <c r="F118" s="12" t="s">
        <v>33</v>
      </c>
      <c r="G118" s="10" t="s">
        <v>168</v>
      </c>
      <c r="H118" s="11" t="str">
        <f aca="false">IF(G118="","",IFERROR(INDEX(Productos!$B:$B,MATCH(G118,Productos!$A:$A,0)),""))</f>
        <v>Panela cuadrada</v>
      </c>
      <c r="I118" s="11" t="s">
        <v>631</v>
      </c>
      <c r="J118" s="12" t="n">
        <f aca="false">IF(F118="Fácil",10,IF(F118="Media",20,30))</f>
        <v>20</v>
      </c>
      <c r="K118" s="12" t="s">
        <v>330</v>
      </c>
    </row>
    <row r="119" customFormat="false" ht="15" hidden="false" customHeight="false" outlineLevel="0" collapsed="false">
      <c r="A119" s="11" t="s">
        <v>899</v>
      </c>
      <c r="B119" s="11" t="s">
        <v>27</v>
      </c>
      <c r="C119" s="20" t="s">
        <v>900</v>
      </c>
      <c r="D119" s="12" t="s">
        <v>544</v>
      </c>
      <c r="E119" s="20" t="s">
        <v>901</v>
      </c>
      <c r="F119" s="12" t="s">
        <v>33</v>
      </c>
      <c r="G119" s="10" t="s">
        <v>202</v>
      </c>
      <c r="H119" s="11" t="str">
        <f aca="false">IF(G119="","",IFERROR(INDEX(Productos!$B:$B,MATCH(G119,Productos!$A:$A,0)),""))</f>
        <v>Aceite de girasol</v>
      </c>
      <c r="I119" s="11" t="s">
        <v>631</v>
      </c>
      <c r="J119" s="12" t="n">
        <f aca="false">IF(F119="Fácil",10,IF(F119="Media",20,30))</f>
        <v>20</v>
      </c>
      <c r="K119" s="12" t="s">
        <v>330</v>
      </c>
    </row>
    <row r="120" customFormat="false" ht="15" hidden="false" customHeight="false" outlineLevel="0" collapsed="false">
      <c r="A120" s="11" t="s">
        <v>902</v>
      </c>
      <c r="B120" s="11" t="s">
        <v>29</v>
      </c>
      <c r="C120" s="20" t="s">
        <v>903</v>
      </c>
      <c r="D120" s="12" t="s">
        <v>535</v>
      </c>
      <c r="E120" s="20" t="s">
        <v>904</v>
      </c>
      <c r="F120" s="12" t="s">
        <v>33</v>
      </c>
      <c r="G120" s="10"/>
      <c r="H120" s="11" t="str">
        <f aca="false">IF(G120="","",IFERROR(INDEX(Productos!$B:$B,MATCH(G120,Productos!$A:$A,0)),""))</f>
        <v/>
      </c>
      <c r="I120" s="11" t="s">
        <v>573</v>
      </c>
      <c r="J120" s="12" t="n">
        <f aca="false">IF(F120="Fácil",10,IF(F120="Media",20,30))</f>
        <v>20</v>
      </c>
      <c r="K120" s="12" t="s">
        <v>330</v>
      </c>
    </row>
    <row r="121" customFormat="false" ht="23.85" hidden="false" customHeight="false" outlineLevel="0" collapsed="false">
      <c r="A121" s="11" t="s">
        <v>905</v>
      </c>
      <c r="B121" s="11" t="s">
        <v>29</v>
      </c>
      <c r="C121" s="20" t="s">
        <v>906</v>
      </c>
      <c r="D121" s="12" t="s">
        <v>535</v>
      </c>
      <c r="E121" s="20" t="s">
        <v>907</v>
      </c>
      <c r="F121" s="12" t="s">
        <v>32</v>
      </c>
      <c r="G121" s="10"/>
      <c r="H121" s="11" t="str">
        <f aca="false">IF(G121="","",IFERROR(INDEX(Productos!$B:$B,MATCH(G121,Productos!$A:$A,0)),""))</f>
        <v/>
      </c>
      <c r="I121" s="11" t="s">
        <v>624</v>
      </c>
      <c r="J121" s="12" t="n">
        <f aca="false">IF(F121="Fácil",10,IF(F121="Media",20,30))</f>
        <v>10</v>
      </c>
      <c r="K121" s="12" t="s">
        <v>330</v>
      </c>
    </row>
    <row r="122" customFormat="false" ht="15" hidden="false" customHeight="false" outlineLevel="0" collapsed="false">
      <c r="A122" s="11" t="s">
        <v>908</v>
      </c>
      <c r="B122" s="11" t="s">
        <v>28</v>
      </c>
      <c r="C122" s="20" t="s">
        <v>909</v>
      </c>
      <c r="D122" s="12" t="s">
        <v>535</v>
      </c>
      <c r="E122" s="20" t="s">
        <v>910</v>
      </c>
      <c r="F122" s="12" t="s">
        <v>32</v>
      </c>
      <c r="G122" s="10" t="s">
        <v>235</v>
      </c>
      <c r="H122" s="11" t="str">
        <f aca="false">IF(G122="","",IFERROR(INDEX(Productos!$B:$B,MATCH(G122,Productos!$A:$A,0)),""))</f>
        <v>Huevos AA</v>
      </c>
      <c r="I122" s="11" t="s">
        <v>554</v>
      </c>
      <c r="J122" s="12" t="n">
        <f aca="false">IF(F122="Fácil",10,IF(F122="Media",20,30))</f>
        <v>10</v>
      </c>
      <c r="K122" s="12" t="s">
        <v>330</v>
      </c>
    </row>
    <row r="123" customFormat="false" ht="15" hidden="false" customHeight="false" outlineLevel="0" collapsed="false">
      <c r="A123" s="11" t="s">
        <v>911</v>
      </c>
      <c r="B123" s="11" t="s">
        <v>27</v>
      </c>
      <c r="C123" s="20" t="s">
        <v>912</v>
      </c>
      <c r="D123" s="12" t="s">
        <v>535</v>
      </c>
      <c r="E123" s="20" t="s">
        <v>913</v>
      </c>
      <c r="F123" s="12" t="s">
        <v>33</v>
      </c>
      <c r="G123" s="10" t="s">
        <v>60</v>
      </c>
      <c r="H123" s="11" t="str">
        <f aca="false">IF(G123="","",IFERROR(INDEX(Productos!$B:$B,MATCH(G123,Productos!$A:$A,0)),""))</f>
        <v>Aguacate Hass</v>
      </c>
      <c r="I123" s="11" t="s">
        <v>541</v>
      </c>
      <c r="J123" s="12" t="n">
        <f aca="false">IF(F123="Fácil",10,IF(F123="Media",20,30))</f>
        <v>20</v>
      </c>
      <c r="K123" s="12" t="s">
        <v>330</v>
      </c>
    </row>
    <row r="124" customFormat="false" ht="23.85" hidden="false" customHeight="false" outlineLevel="0" collapsed="false">
      <c r="A124" s="11" t="s">
        <v>914</v>
      </c>
      <c r="B124" s="11" t="s">
        <v>24</v>
      </c>
      <c r="C124" s="20" t="s">
        <v>915</v>
      </c>
      <c r="D124" s="12" t="s">
        <v>535</v>
      </c>
      <c r="E124" s="20" t="s">
        <v>916</v>
      </c>
      <c r="F124" s="12" t="s">
        <v>32</v>
      </c>
      <c r="G124" s="10" t="s">
        <v>213</v>
      </c>
      <c r="H124" s="11" t="str">
        <f aca="false">IF(G124="","",IFERROR(INDEX(Productos!$B:$B,MATCH(G124,Productos!$A:$A,0)),""))</f>
        <v>Fríjol cargamanto</v>
      </c>
      <c r="I124" s="11" t="s">
        <v>550</v>
      </c>
      <c r="J124" s="12" t="n">
        <f aca="false">IF(F124="Fácil",10,IF(F124="Media",20,30))</f>
        <v>10</v>
      </c>
      <c r="K124" s="12" t="s">
        <v>330</v>
      </c>
    </row>
    <row r="125" customFormat="false" ht="15" hidden="false" customHeight="false" outlineLevel="0" collapsed="false">
      <c r="A125" s="11" t="s">
        <v>917</v>
      </c>
      <c r="B125" s="11" t="s">
        <v>28</v>
      </c>
      <c r="C125" s="20" t="s">
        <v>918</v>
      </c>
      <c r="D125" s="12" t="s">
        <v>544</v>
      </c>
      <c r="E125" s="20" t="s">
        <v>919</v>
      </c>
      <c r="F125" s="12" t="s">
        <v>32</v>
      </c>
      <c r="G125" s="10" t="s">
        <v>78</v>
      </c>
      <c r="H125" s="11" t="str">
        <f aca="false">IF(G125="","",IFERROR(INDEX(Productos!$B:$B,MATCH(G125,Productos!$A:$A,0)),""))</f>
        <v>Plátano hartón</v>
      </c>
      <c r="I125" s="11" t="s">
        <v>554</v>
      </c>
      <c r="J125" s="12" t="n">
        <f aca="false">IF(F125="Fácil",10,IF(F125="Media",20,30))</f>
        <v>10</v>
      </c>
      <c r="K125" s="12" t="s">
        <v>330</v>
      </c>
    </row>
    <row r="126" customFormat="false" ht="23.85" hidden="false" customHeight="false" outlineLevel="0" collapsed="false">
      <c r="A126" s="11" t="s">
        <v>920</v>
      </c>
      <c r="B126" s="11" t="s">
        <v>29</v>
      </c>
      <c r="C126" s="20" t="s">
        <v>921</v>
      </c>
      <c r="D126" s="12" t="s">
        <v>544</v>
      </c>
      <c r="E126" s="20" t="s">
        <v>922</v>
      </c>
      <c r="F126" s="12" t="s">
        <v>33</v>
      </c>
      <c r="G126" s="10" t="s">
        <v>91</v>
      </c>
      <c r="H126" s="11" t="str">
        <f aca="false">IF(G126="","",IFERROR(INDEX(Productos!$B:$B,MATCH(G126,Productos!$A:$A,0)),""))</f>
        <v>Lulo</v>
      </c>
      <c r="I126" s="11" t="s">
        <v>620</v>
      </c>
      <c r="J126" s="12" t="n">
        <f aca="false">IF(F126="Fácil",10,IF(F126="Media",20,30))</f>
        <v>20</v>
      </c>
      <c r="K126" s="12" t="s">
        <v>330</v>
      </c>
    </row>
    <row r="127" customFormat="false" ht="23.85" hidden="false" customHeight="false" outlineLevel="0" collapsed="false">
      <c r="A127" s="11" t="s">
        <v>923</v>
      </c>
      <c r="B127" s="11" t="s">
        <v>29</v>
      </c>
      <c r="C127" s="20" t="s">
        <v>924</v>
      </c>
      <c r="D127" s="12" t="s">
        <v>544</v>
      </c>
      <c r="E127" s="20" t="s">
        <v>925</v>
      </c>
      <c r="F127" s="12" t="s">
        <v>33</v>
      </c>
      <c r="G127" s="10" t="s">
        <v>194</v>
      </c>
      <c r="H127" s="11" t="str">
        <f aca="false">IF(G127="","",IFERROR(INDEX(Productos!$B:$B,MATCH(G127,Productos!$A:$A,0)),""))</f>
        <v>Chocolate de mesa</v>
      </c>
      <c r="I127" s="11" t="s">
        <v>620</v>
      </c>
      <c r="J127" s="12" t="n">
        <f aca="false">IF(F127="Fácil",10,IF(F127="Media",20,30))</f>
        <v>20</v>
      </c>
      <c r="K127" s="12" t="s">
        <v>330</v>
      </c>
    </row>
    <row r="128" customFormat="false" ht="15" hidden="false" customHeight="false" outlineLevel="0" collapsed="false">
      <c r="A128" s="11" t="s">
        <v>926</v>
      </c>
      <c r="B128" s="11" t="s">
        <v>29</v>
      </c>
      <c r="C128" s="20" t="s">
        <v>927</v>
      </c>
      <c r="D128" s="12" t="s">
        <v>535</v>
      </c>
      <c r="E128" s="20" t="s">
        <v>928</v>
      </c>
      <c r="F128" s="12" t="s">
        <v>33</v>
      </c>
      <c r="G128" s="10"/>
      <c r="H128" s="11" t="str">
        <f aca="false">IF(G128="","",IFERROR(INDEX(Productos!$B:$B,MATCH(G128,Productos!$A:$A,0)),""))</f>
        <v/>
      </c>
      <c r="I128" s="11" t="s">
        <v>573</v>
      </c>
      <c r="J128" s="12" t="n">
        <f aca="false">IF(F128="Fácil",10,IF(F128="Media",20,30))</f>
        <v>20</v>
      </c>
      <c r="K128" s="12" t="s">
        <v>330</v>
      </c>
    </row>
    <row r="129" customFormat="false" ht="23.85" hidden="false" customHeight="false" outlineLevel="0" collapsed="false">
      <c r="A129" s="11" t="s">
        <v>929</v>
      </c>
      <c r="B129" s="11" t="s">
        <v>24</v>
      </c>
      <c r="C129" s="20" t="s">
        <v>930</v>
      </c>
      <c r="D129" s="12" t="s">
        <v>535</v>
      </c>
      <c r="E129" s="20" t="s">
        <v>931</v>
      </c>
      <c r="F129" s="12" t="s">
        <v>32</v>
      </c>
      <c r="G129" s="10" t="s">
        <v>137</v>
      </c>
      <c r="H129" s="11" t="str">
        <f aca="false">IF(G129="","",IFERROR(INDEX(Productos!$B:$B,MATCH(G129,Productos!$A:$A,0)),""))</f>
        <v>Salchichas tipo Viena</v>
      </c>
      <c r="I129" s="11" t="s">
        <v>546</v>
      </c>
      <c r="J129" s="12" t="n">
        <f aca="false">IF(F129="Fácil",10,IF(F129="Media",20,30))</f>
        <v>10</v>
      </c>
      <c r="K129" s="12" t="s">
        <v>330</v>
      </c>
    </row>
    <row r="130" customFormat="false" ht="15" hidden="false" customHeight="false" outlineLevel="0" collapsed="false">
      <c r="A130" s="11" t="s">
        <v>932</v>
      </c>
      <c r="B130" s="11" t="s">
        <v>29</v>
      </c>
      <c r="C130" s="20" t="s">
        <v>933</v>
      </c>
      <c r="D130" s="12" t="s">
        <v>544</v>
      </c>
      <c r="E130" s="20" t="s">
        <v>934</v>
      </c>
      <c r="F130" s="12" t="s">
        <v>33</v>
      </c>
      <c r="G130" s="10"/>
      <c r="H130" s="11" t="str">
        <f aca="false">IF(G130="","",IFERROR(INDEX(Productos!$B:$B,MATCH(G130,Productos!$A:$A,0)),""))</f>
        <v/>
      </c>
      <c r="I130" s="11" t="s">
        <v>573</v>
      </c>
      <c r="J130" s="12" t="n">
        <f aca="false">IF(F130="Fácil",10,IF(F130="Media",20,30))</f>
        <v>20</v>
      </c>
      <c r="K130" s="12" t="s">
        <v>330</v>
      </c>
    </row>
    <row r="131" customFormat="false" ht="23.85" hidden="false" customHeight="false" outlineLevel="0" collapsed="false">
      <c r="A131" s="11" t="s">
        <v>935</v>
      </c>
      <c r="B131" s="11" t="s">
        <v>28</v>
      </c>
      <c r="C131" s="20" t="s">
        <v>936</v>
      </c>
      <c r="D131" s="12" t="s">
        <v>535</v>
      </c>
      <c r="E131" s="20" t="s">
        <v>937</v>
      </c>
      <c r="F131" s="12" t="s">
        <v>32</v>
      </c>
      <c r="G131" s="10" t="s">
        <v>104</v>
      </c>
      <c r="H131" s="11" t="str">
        <f aca="false">IF(G131="","",IFERROR(INDEX(Productos!$B:$B,MATCH(G131,Productos!$A:$A,0)),""))</f>
        <v>Cebolla cabezona blanca</v>
      </c>
      <c r="I131" s="11" t="s">
        <v>537</v>
      </c>
      <c r="J131" s="12" t="n">
        <f aca="false">IF(F131="Fácil",10,IF(F131="Media",20,30))</f>
        <v>10</v>
      </c>
      <c r="K131" s="12" t="s">
        <v>330</v>
      </c>
    </row>
    <row r="132" customFormat="false" ht="23.85" hidden="false" customHeight="false" outlineLevel="0" collapsed="false">
      <c r="A132" s="11" t="s">
        <v>938</v>
      </c>
      <c r="B132" s="11" t="s">
        <v>29</v>
      </c>
      <c r="C132" s="20" t="s">
        <v>939</v>
      </c>
      <c r="D132" s="12" t="s">
        <v>535</v>
      </c>
      <c r="E132" s="20" t="s">
        <v>940</v>
      </c>
      <c r="F132" s="12" t="s">
        <v>33</v>
      </c>
      <c r="G132" s="10" t="s">
        <v>149</v>
      </c>
      <c r="H132" s="11" t="str">
        <f aca="false">IF(G132="","",IFERROR(INDEX(Productos!$B:$B,MATCH(G132,Productos!$A:$A,0)),""))</f>
        <v>Pulpa de mora congelada</v>
      </c>
      <c r="I132" s="11" t="s">
        <v>620</v>
      </c>
      <c r="J132" s="12" t="n">
        <f aca="false">IF(F132="Fácil",10,IF(F132="Media",20,30))</f>
        <v>20</v>
      </c>
      <c r="K132" s="12" t="s">
        <v>330</v>
      </c>
    </row>
    <row r="133" customFormat="false" ht="15" hidden="false" customHeight="false" outlineLevel="0" collapsed="false">
      <c r="A133" s="11" t="s">
        <v>941</v>
      </c>
      <c r="B133" s="11" t="s">
        <v>25</v>
      </c>
      <c r="C133" s="20" t="s">
        <v>942</v>
      </c>
      <c r="D133" s="12" t="s">
        <v>544</v>
      </c>
      <c r="E133" s="20" t="s">
        <v>943</v>
      </c>
      <c r="F133" s="12" t="s">
        <v>34</v>
      </c>
      <c r="G133" s="10" t="s">
        <v>91</v>
      </c>
      <c r="H133" s="11" t="str">
        <f aca="false">IF(G133="","",IFERROR(INDEX(Productos!$B:$B,MATCH(G133,Productos!$A:$A,0)),""))</f>
        <v>Lulo</v>
      </c>
      <c r="I133" s="11" t="s">
        <v>562</v>
      </c>
      <c r="J133" s="12" t="n">
        <f aca="false">IF(F133="Fácil",10,IF(F133="Media",20,30))</f>
        <v>30</v>
      </c>
      <c r="K133" s="12" t="s">
        <v>330</v>
      </c>
    </row>
    <row r="134" customFormat="false" ht="23.85" hidden="false" customHeight="false" outlineLevel="0" collapsed="false">
      <c r="A134" s="11" t="s">
        <v>944</v>
      </c>
      <c r="B134" s="11" t="s">
        <v>30</v>
      </c>
      <c r="C134" s="20" t="s">
        <v>945</v>
      </c>
      <c r="D134" s="12" t="s">
        <v>544</v>
      </c>
      <c r="E134" s="20" t="s">
        <v>946</v>
      </c>
      <c r="F134" s="12" t="s">
        <v>33</v>
      </c>
      <c r="G134" s="10"/>
      <c r="H134" s="11" t="str">
        <f aca="false">IF(G134="","",IFERROR(INDEX(Productos!$B:$B,MATCH(G134,Productos!$A:$A,0)),""))</f>
        <v/>
      </c>
      <c r="I134" s="11" t="s">
        <v>558</v>
      </c>
      <c r="J134" s="12" t="n">
        <f aca="false">IF(F134="Fácil",10,IF(F134="Media",20,30))</f>
        <v>20</v>
      </c>
      <c r="K134" s="12" t="s">
        <v>330</v>
      </c>
    </row>
    <row r="135" customFormat="false" ht="23.85" hidden="false" customHeight="false" outlineLevel="0" collapsed="false">
      <c r="A135" s="11" t="s">
        <v>947</v>
      </c>
      <c r="B135" s="11" t="s">
        <v>24</v>
      </c>
      <c r="C135" s="20" t="s">
        <v>948</v>
      </c>
      <c r="D135" s="12" t="s">
        <v>544</v>
      </c>
      <c r="E135" s="20" t="s">
        <v>949</v>
      </c>
      <c r="F135" s="12" t="s">
        <v>32</v>
      </c>
      <c r="G135" s="10" t="s">
        <v>168</v>
      </c>
      <c r="H135" s="11" t="str">
        <f aca="false">IF(G135="","",IFERROR(INDEX(Productos!$B:$B,MATCH(G135,Productos!$A:$A,0)),""))</f>
        <v>Panela cuadrada</v>
      </c>
      <c r="I135" s="11" t="s">
        <v>550</v>
      </c>
      <c r="J135" s="12" t="n">
        <f aca="false">IF(F135="Fácil",10,IF(F135="Media",20,30))</f>
        <v>10</v>
      </c>
      <c r="K135" s="12" t="s">
        <v>330</v>
      </c>
    </row>
    <row r="136" customFormat="false" ht="23.85" hidden="false" customHeight="false" outlineLevel="0" collapsed="false">
      <c r="A136" s="11" t="s">
        <v>950</v>
      </c>
      <c r="B136" s="11" t="s">
        <v>24</v>
      </c>
      <c r="C136" s="20" t="s">
        <v>951</v>
      </c>
      <c r="D136" s="12" t="s">
        <v>544</v>
      </c>
      <c r="E136" s="20" t="s">
        <v>952</v>
      </c>
      <c r="F136" s="12" t="s">
        <v>32</v>
      </c>
      <c r="G136" s="10" t="s">
        <v>98</v>
      </c>
      <c r="H136" s="11" t="str">
        <f aca="false">IF(G136="","",IFERROR(INDEX(Productos!$B:$B,MATCH(G136,Productos!$A:$A,0)),""))</f>
        <v>Mango Tommy</v>
      </c>
      <c r="I136" s="11" t="s">
        <v>546</v>
      </c>
      <c r="J136" s="12" t="n">
        <f aca="false">IF(F136="Fácil",10,IF(F136="Media",20,30))</f>
        <v>10</v>
      </c>
      <c r="K136" s="12" t="s">
        <v>330</v>
      </c>
    </row>
    <row r="137" customFormat="false" ht="23.85" hidden="false" customHeight="false" outlineLevel="0" collapsed="false">
      <c r="A137" s="11" t="s">
        <v>953</v>
      </c>
      <c r="B137" s="11" t="s">
        <v>26</v>
      </c>
      <c r="C137" s="20" t="s">
        <v>954</v>
      </c>
      <c r="D137" s="12" t="s">
        <v>544</v>
      </c>
      <c r="E137" s="20" t="s">
        <v>955</v>
      </c>
      <c r="F137" s="12" t="s">
        <v>33</v>
      </c>
      <c r="G137" s="10" t="s">
        <v>113</v>
      </c>
      <c r="H137" s="11" t="str">
        <f aca="false">IF(G137="","",IFERROR(INDEX(Productos!$B:$B,MATCH(G137,Productos!$A:$A,0)),""))</f>
        <v>Leche entera pasteurizada</v>
      </c>
      <c r="I137" s="11" t="s">
        <v>613</v>
      </c>
      <c r="J137" s="12" t="n">
        <f aca="false">IF(F137="Fácil",10,IF(F137="Media",20,30))</f>
        <v>20</v>
      </c>
      <c r="K137" s="12" t="s">
        <v>330</v>
      </c>
    </row>
    <row r="138" customFormat="false" ht="15" hidden="false" customHeight="false" outlineLevel="0" collapsed="false">
      <c r="A138" s="11" t="s">
        <v>956</v>
      </c>
      <c r="B138" s="11" t="s">
        <v>25</v>
      </c>
      <c r="C138" s="20" t="s">
        <v>957</v>
      </c>
      <c r="D138" s="12" t="s">
        <v>535</v>
      </c>
      <c r="E138" s="20" t="s">
        <v>958</v>
      </c>
      <c r="F138" s="12" t="s">
        <v>34</v>
      </c>
      <c r="G138" s="10" t="s">
        <v>255</v>
      </c>
      <c r="H138" s="11" t="str">
        <f aca="false">IF(G138="","",IFERROR(INDEX(Productos!$B:$B,MATCH(G138,Productos!$A:$A,0)),""))</f>
        <v>Aguardiente tradicional</v>
      </c>
      <c r="I138" s="11" t="s">
        <v>566</v>
      </c>
      <c r="J138" s="12" t="n">
        <f aca="false">IF(F138="Fácil",10,IF(F138="Media",20,30))</f>
        <v>30</v>
      </c>
      <c r="K138" s="12" t="s">
        <v>330</v>
      </c>
    </row>
    <row r="139" customFormat="false" ht="15" hidden="false" customHeight="false" outlineLevel="0" collapsed="false">
      <c r="A139" s="11" t="s">
        <v>959</v>
      </c>
      <c r="B139" s="11" t="s">
        <v>25</v>
      </c>
      <c r="C139" s="20" t="s">
        <v>960</v>
      </c>
      <c r="D139" s="12" t="s">
        <v>535</v>
      </c>
      <c r="E139" s="20" t="s">
        <v>961</v>
      </c>
      <c r="F139" s="12" t="s">
        <v>34</v>
      </c>
      <c r="G139" s="10" t="s">
        <v>83</v>
      </c>
      <c r="H139" s="11" t="str">
        <f aca="false">IF(G139="","",IFERROR(INDEX(Productos!$B:$B,MATCH(G139,Productos!$A:$A,0)),""))</f>
        <v>Uchuva con capacho</v>
      </c>
      <c r="I139" s="11" t="s">
        <v>562</v>
      </c>
      <c r="J139" s="12" t="n">
        <f aca="false">IF(F139="Fácil",10,IF(F139="Media",20,30))</f>
        <v>30</v>
      </c>
      <c r="K139" s="12" t="s">
        <v>330</v>
      </c>
    </row>
    <row r="140" customFormat="false" ht="15" hidden="false" customHeight="false" outlineLevel="0" collapsed="false">
      <c r="A140" s="11" t="s">
        <v>962</v>
      </c>
      <c r="B140" s="11" t="s">
        <v>27</v>
      </c>
      <c r="C140" s="20" t="s">
        <v>963</v>
      </c>
      <c r="D140" s="12" t="s">
        <v>535</v>
      </c>
      <c r="E140" s="20" t="s">
        <v>964</v>
      </c>
      <c r="F140" s="12" t="s">
        <v>33</v>
      </c>
      <c r="G140" s="10" t="s">
        <v>159</v>
      </c>
      <c r="H140" s="11" t="str">
        <f aca="false">IF(G140="","",IFERROR(INDEX(Productos!$B:$B,MATCH(G140,Productos!$A:$A,0)),""))</f>
        <v>Arroz blanco</v>
      </c>
      <c r="I140" s="11" t="s">
        <v>541</v>
      </c>
      <c r="J140" s="12" t="n">
        <f aca="false">IF(F140="Fácil",10,IF(F140="Media",20,30))</f>
        <v>20</v>
      </c>
      <c r="K140" s="12" t="s">
        <v>330</v>
      </c>
    </row>
    <row r="141" customFormat="false" ht="15" hidden="false" customHeight="false" outlineLevel="0" collapsed="false">
      <c r="A141" s="11" t="s">
        <v>965</v>
      </c>
      <c r="B141" s="11" t="s">
        <v>28</v>
      </c>
      <c r="C141" s="20" t="s">
        <v>966</v>
      </c>
      <c r="D141" s="12" t="s">
        <v>544</v>
      </c>
      <c r="E141" s="20" t="s">
        <v>967</v>
      </c>
      <c r="F141" s="12" t="s">
        <v>32</v>
      </c>
      <c r="G141" s="10" t="s">
        <v>228</v>
      </c>
      <c r="H141" s="11" t="str">
        <f aca="false">IF(G141="","",IFERROR(INDEX(Productos!$B:$B,MATCH(G141,Productos!$A:$A,0)),""))</f>
        <v>Arequipe</v>
      </c>
      <c r="I141" s="11" t="s">
        <v>554</v>
      </c>
      <c r="J141" s="12" t="n">
        <f aca="false">IF(F141="Fácil",10,IF(F141="Media",20,30))</f>
        <v>10</v>
      </c>
      <c r="K141" s="12" t="s">
        <v>330</v>
      </c>
    </row>
    <row r="142" customFormat="false" ht="23.85" hidden="false" customHeight="false" outlineLevel="0" collapsed="false">
      <c r="A142" s="11" t="s">
        <v>968</v>
      </c>
      <c r="B142" s="11" t="s">
        <v>28</v>
      </c>
      <c r="C142" s="20" t="s">
        <v>969</v>
      </c>
      <c r="D142" s="12" t="s">
        <v>535</v>
      </c>
      <c r="E142" s="20" t="s">
        <v>970</v>
      </c>
      <c r="F142" s="12" t="s">
        <v>32</v>
      </c>
      <c r="G142" s="10" t="s">
        <v>83</v>
      </c>
      <c r="H142" s="11" t="str">
        <f aca="false">IF(G142="","",IFERROR(INDEX(Productos!$B:$B,MATCH(G142,Productos!$A:$A,0)),""))</f>
        <v>Uchuva con capacho</v>
      </c>
      <c r="I142" s="11" t="s">
        <v>554</v>
      </c>
      <c r="J142" s="12" t="n">
        <f aca="false">IF(F142="Fácil",10,IF(F142="Media",20,30))</f>
        <v>10</v>
      </c>
      <c r="K142" s="12" t="s">
        <v>330</v>
      </c>
    </row>
    <row r="143" customFormat="false" ht="23.85" hidden="false" customHeight="false" outlineLevel="0" collapsed="false">
      <c r="A143" s="11" t="s">
        <v>971</v>
      </c>
      <c r="B143" s="11" t="s">
        <v>24</v>
      </c>
      <c r="C143" s="20" t="s">
        <v>972</v>
      </c>
      <c r="D143" s="12" t="s">
        <v>535</v>
      </c>
      <c r="E143" s="20" t="s">
        <v>973</v>
      </c>
      <c r="F143" s="12" t="s">
        <v>32</v>
      </c>
      <c r="G143" s="10" t="s">
        <v>78</v>
      </c>
      <c r="H143" s="11" t="str">
        <f aca="false">IF(G143="","",IFERROR(INDEX(Productos!$B:$B,MATCH(G143,Productos!$A:$A,0)),""))</f>
        <v>Plátano hartón</v>
      </c>
      <c r="I143" s="11" t="s">
        <v>546</v>
      </c>
      <c r="J143" s="12" t="n">
        <f aca="false">IF(F143="Fácil",10,IF(F143="Media",20,30))</f>
        <v>10</v>
      </c>
      <c r="K143" s="12" t="s">
        <v>330</v>
      </c>
    </row>
    <row r="144" customFormat="false" ht="15" hidden="false" customHeight="false" outlineLevel="0" collapsed="false">
      <c r="A144" s="11" t="s">
        <v>974</v>
      </c>
      <c r="B144" s="11" t="s">
        <v>25</v>
      </c>
      <c r="C144" s="20" t="s">
        <v>975</v>
      </c>
      <c r="D144" s="12" t="s">
        <v>544</v>
      </c>
      <c r="E144" s="20" t="s">
        <v>976</v>
      </c>
      <c r="F144" s="12" t="s">
        <v>34</v>
      </c>
      <c r="G144" s="10" t="s">
        <v>283</v>
      </c>
      <c r="H144" s="11" t="str">
        <f aca="false">IF(G144="","",IFERROR(INDEX(Productos!$B:$B,MATCH(G144,Productos!$A:$A,0)),""))</f>
        <v>Papas fritas sabor pollo</v>
      </c>
      <c r="I144" s="11" t="s">
        <v>566</v>
      </c>
      <c r="J144" s="12" t="n">
        <f aca="false">IF(F144="Fácil",10,IF(F144="Media",20,30))</f>
        <v>30</v>
      </c>
      <c r="K144" s="12" t="s">
        <v>330</v>
      </c>
    </row>
    <row r="145" customFormat="false" ht="15" hidden="false" customHeight="false" outlineLevel="0" collapsed="false">
      <c r="A145" s="11" t="s">
        <v>977</v>
      </c>
      <c r="B145" s="11" t="s">
        <v>26</v>
      </c>
      <c r="C145" s="20" t="s">
        <v>978</v>
      </c>
      <c r="D145" s="12" t="s">
        <v>544</v>
      </c>
      <c r="E145" s="20" t="s">
        <v>979</v>
      </c>
      <c r="F145" s="12" t="s">
        <v>33</v>
      </c>
      <c r="G145" s="10" t="s">
        <v>48</v>
      </c>
      <c r="H145" s="11" t="str">
        <f aca="false">IF(G145="","",IFERROR(INDEX(Productos!$B:$B,MATCH(G145,Productos!$A:$A,0)),""))</f>
        <v>Banano premium</v>
      </c>
      <c r="I145" s="11" t="s">
        <v>613</v>
      </c>
      <c r="J145" s="12" t="n">
        <f aca="false">IF(F145="Fácil",10,IF(F145="Media",20,30))</f>
        <v>20</v>
      </c>
      <c r="K145" s="12" t="s">
        <v>330</v>
      </c>
    </row>
    <row r="146" customFormat="false" ht="23.85" hidden="false" customHeight="false" outlineLevel="0" collapsed="false">
      <c r="A146" s="11" t="s">
        <v>980</v>
      </c>
      <c r="B146" s="11" t="s">
        <v>29</v>
      </c>
      <c r="C146" s="20" t="s">
        <v>981</v>
      </c>
      <c r="D146" s="12" t="s">
        <v>535</v>
      </c>
      <c r="E146" s="20" t="s">
        <v>982</v>
      </c>
      <c r="F146" s="12" t="s">
        <v>33</v>
      </c>
      <c r="G146" s="10" t="s">
        <v>302</v>
      </c>
      <c r="H146" s="11" t="str">
        <f aca="false">IF(G146="","",IFERROR(INDEX(Productos!$B:$B,MATCH(G146,Productos!$A:$A,0)),""))</f>
        <v>Papel higiénico</v>
      </c>
      <c r="I146" s="11" t="s">
        <v>620</v>
      </c>
      <c r="J146" s="12" t="n">
        <f aca="false">IF(F146="Fácil",10,IF(F146="Media",20,30))</f>
        <v>20</v>
      </c>
      <c r="K146" s="12" t="s">
        <v>330</v>
      </c>
    </row>
    <row r="147" customFormat="false" ht="15" hidden="false" customHeight="false" outlineLevel="0" collapsed="false">
      <c r="A147" s="11" t="s">
        <v>983</v>
      </c>
      <c r="B147" s="11" t="s">
        <v>29</v>
      </c>
      <c r="C147" s="20" t="s">
        <v>984</v>
      </c>
      <c r="D147" s="12" t="s">
        <v>535</v>
      </c>
      <c r="E147" s="20" t="s">
        <v>985</v>
      </c>
      <c r="F147" s="12" t="s">
        <v>33</v>
      </c>
      <c r="G147" s="10"/>
      <c r="H147" s="11" t="str">
        <f aca="false">IF(G147="","",IFERROR(INDEX(Productos!$B:$B,MATCH(G147,Productos!$A:$A,0)),""))</f>
        <v/>
      </c>
      <c r="I147" s="11" t="s">
        <v>573</v>
      </c>
      <c r="J147" s="12" t="n">
        <f aca="false">IF(F147="Fácil",10,IF(F147="Media",20,30))</f>
        <v>20</v>
      </c>
      <c r="K147" s="12" t="s">
        <v>330</v>
      </c>
    </row>
    <row r="148" customFormat="false" ht="23.85" hidden="false" customHeight="false" outlineLevel="0" collapsed="false">
      <c r="A148" s="11" t="s">
        <v>986</v>
      </c>
      <c r="B148" s="11" t="s">
        <v>27</v>
      </c>
      <c r="C148" s="20" t="s">
        <v>987</v>
      </c>
      <c r="D148" s="12" t="s">
        <v>535</v>
      </c>
      <c r="E148" s="20" t="s">
        <v>988</v>
      </c>
      <c r="F148" s="12" t="s">
        <v>33</v>
      </c>
      <c r="G148" s="10" t="s">
        <v>265</v>
      </c>
      <c r="H148" s="11" t="str">
        <f aca="false">IF(G148="","",IFERROR(INDEX(Productos!$B:$B,MATCH(G148,Productos!$A:$A,0)),""))</f>
        <v>Bon Bon Bum surtido</v>
      </c>
      <c r="I148" s="11" t="s">
        <v>541</v>
      </c>
      <c r="J148" s="12" t="n">
        <f aca="false">IF(F148="Fácil",10,IF(F148="Media",20,30))</f>
        <v>20</v>
      </c>
      <c r="K148" s="12" t="s">
        <v>330</v>
      </c>
    </row>
    <row r="149" customFormat="false" ht="23.85" hidden="false" customHeight="false" outlineLevel="0" collapsed="false">
      <c r="A149" s="11" t="s">
        <v>989</v>
      </c>
      <c r="B149" s="11" t="s">
        <v>28</v>
      </c>
      <c r="C149" s="20" t="s">
        <v>990</v>
      </c>
      <c r="D149" s="12" t="s">
        <v>535</v>
      </c>
      <c r="E149" s="20" t="s">
        <v>991</v>
      </c>
      <c r="F149" s="12" t="s">
        <v>32</v>
      </c>
      <c r="G149" s="10" t="s">
        <v>149</v>
      </c>
      <c r="H149" s="11" t="str">
        <f aca="false">IF(G149="","",IFERROR(INDEX(Productos!$B:$B,MATCH(G149,Productos!$A:$A,0)),""))</f>
        <v>Pulpa de mora congelada</v>
      </c>
      <c r="I149" s="11" t="s">
        <v>554</v>
      </c>
      <c r="J149" s="12" t="n">
        <f aca="false">IF(F149="Fácil",10,IF(F149="Media",20,30))</f>
        <v>10</v>
      </c>
      <c r="K149" s="12" t="s">
        <v>330</v>
      </c>
    </row>
    <row r="150" customFormat="false" ht="23.85" hidden="false" customHeight="false" outlineLevel="0" collapsed="false">
      <c r="A150" s="11" t="s">
        <v>992</v>
      </c>
      <c r="B150" s="11" t="s">
        <v>24</v>
      </c>
      <c r="C150" s="20" t="s">
        <v>993</v>
      </c>
      <c r="D150" s="12" t="s">
        <v>535</v>
      </c>
      <c r="E150" s="20" t="s">
        <v>994</v>
      </c>
      <c r="F150" s="12" t="s">
        <v>32</v>
      </c>
      <c r="G150" s="10" t="s">
        <v>176</v>
      </c>
      <c r="H150" s="11" t="str">
        <f aca="false">IF(G150="","",IFERROR(INDEX(Productos!$B:$B,MATCH(G150,Productos!$A:$A,0)),""))</f>
        <v>Café tostado y molido</v>
      </c>
      <c r="I150" s="11" t="s">
        <v>550</v>
      </c>
      <c r="J150" s="12" t="n">
        <f aca="false">IF(F150="Fácil",10,IF(F150="Media",20,30))</f>
        <v>10</v>
      </c>
      <c r="K150" s="12" t="s">
        <v>330</v>
      </c>
    </row>
    <row r="151" customFormat="false" ht="23.85" hidden="false" customHeight="false" outlineLevel="0" collapsed="false">
      <c r="A151" s="11" t="s">
        <v>995</v>
      </c>
      <c r="B151" s="11" t="s">
        <v>24</v>
      </c>
      <c r="C151" s="20" t="s">
        <v>996</v>
      </c>
      <c r="D151" s="12" t="s">
        <v>544</v>
      </c>
      <c r="E151" s="20" t="s">
        <v>997</v>
      </c>
      <c r="F151" s="12" t="s">
        <v>32</v>
      </c>
      <c r="G151" s="10" t="s">
        <v>67</v>
      </c>
      <c r="H151" s="11" t="str">
        <f aca="false">IF(G151="","",IFERROR(INDEX(Productos!$B:$B,MATCH(G151,Productos!$A:$A,0)),""))</f>
        <v>Papa criolla lavada</v>
      </c>
      <c r="I151" s="11" t="s">
        <v>546</v>
      </c>
      <c r="J151" s="12" t="n">
        <f aca="false">IF(F151="Fácil",10,IF(F151="Media",20,30))</f>
        <v>10</v>
      </c>
      <c r="K151" s="12" t="s">
        <v>330</v>
      </c>
    </row>
    <row r="152" customFormat="false" ht="23.85" hidden="false" customHeight="false" outlineLevel="0" collapsed="false">
      <c r="A152" s="11" t="s">
        <v>998</v>
      </c>
      <c r="B152" s="11" t="s">
        <v>24</v>
      </c>
      <c r="C152" s="20" t="s">
        <v>999</v>
      </c>
      <c r="D152" s="12" t="s">
        <v>544</v>
      </c>
      <c r="E152" s="20" t="s">
        <v>1000</v>
      </c>
      <c r="F152" s="12" t="s">
        <v>32</v>
      </c>
      <c r="G152" s="10" t="s">
        <v>235</v>
      </c>
      <c r="H152" s="11" t="str">
        <f aca="false">IF(G152="","",IFERROR(INDEX(Productos!$B:$B,MATCH(G152,Productos!$A:$A,0)),""))</f>
        <v>Huevos AA</v>
      </c>
      <c r="I152" s="11" t="s">
        <v>550</v>
      </c>
      <c r="J152" s="12" t="n">
        <f aca="false">IF(F152="Fácil",10,IF(F152="Media",20,30))</f>
        <v>10</v>
      </c>
      <c r="K152" s="12" t="s">
        <v>330</v>
      </c>
    </row>
    <row r="153" customFormat="false" ht="23.85" hidden="false" customHeight="false" outlineLevel="0" collapsed="false">
      <c r="A153" s="11" t="s">
        <v>1001</v>
      </c>
      <c r="B153" s="11" t="s">
        <v>28</v>
      </c>
      <c r="C153" s="20" t="s">
        <v>1002</v>
      </c>
      <c r="D153" s="12" t="s">
        <v>535</v>
      </c>
      <c r="E153" s="20" t="s">
        <v>1003</v>
      </c>
      <c r="F153" s="12" t="s">
        <v>32</v>
      </c>
      <c r="G153" s="10" t="s">
        <v>48</v>
      </c>
      <c r="H153" s="11" t="str">
        <f aca="false">IF(G153="","",IFERROR(INDEX(Productos!$B:$B,MATCH(G153,Productos!$A:$A,0)),""))</f>
        <v>Banano premium</v>
      </c>
      <c r="I153" s="11" t="s">
        <v>554</v>
      </c>
      <c r="J153" s="12" t="n">
        <f aca="false">IF(F153="Fácil",10,IF(F153="Media",20,30))</f>
        <v>10</v>
      </c>
      <c r="K153" s="12" t="s">
        <v>330</v>
      </c>
    </row>
    <row r="154" customFormat="false" ht="23.85" hidden="false" customHeight="false" outlineLevel="0" collapsed="false">
      <c r="A154" s="11" t="s">
        <v>1004</v>
      </c>
      <c r="B154" s="11" t="s">
        <v>30</v>
      </c>
      <c r="C154" s="20" t="s">
        <v>1005</v>
      </c>
      <c r="D154" s="12" t="s">
        <v>535</v>
      </c>
      <c r="E154" s="20" t="s">
        <v>1006</v>
      </c>
      <c r="F154" s="12" t="s">
        <v>33</v>
      </c>
      <c r="G154" s="10"/>
      <c r="H154" s="11" t="str">
        <f aca="false">IF(G154="","",IFERROR(INDEX(Productos!$B:$B,MATCH(G154,Productos!$A:$A,0)),""))</f>
        <v/>
      </c>
      <c r="I154" s="11" t="s">
        <v>558</v>
      </c>
      <c r="J154" s="12" t="n">
        <f aca="false">IF(F154="Fácil",10,IF(F154="Media",20,30))</f>
        <v>20</v>
      </c>
      <c r="K154" s="12" t="s">
        <v>330</v>
      </c>
    </row>
    <row r="155" customFormat="false" ht="15" hidden="false" customHeight="false" outlineLevel="0" collapsed="false">
      <c r="A155" s="11" t="s">
        <v>1007</v>
      </c>
      <c r="B155" s="11" t="s">
        <v>27</v>
      </c>
      <c r="C155" s="20" t="s">
        <v>1008</v>
      </c>
      <c r="D155" s="12" t="s">
        <v>544</v>
      </c>
      <c r="E155" s="20" t="s">
        <v>1009</v>
      </c>
      <c r="F155" s="12" t="s">
        <v>33</v>
      </c>
      <c r="G155" s="10" t="s">
        <v>235</v>
      </c>
      <c r="H155" s="11" t="str">
        <f aca="false">IF(G155="","",IFERROR(INDEX(Productos!$B:$B,MATCH(G155,Productos!$A:$A,0)),""))</f>
        <v>Huevos AA</v>
      </c>
      <c r="I155" s="11" t="s">
        <v>631</v>
      </c>
      <c r="J155" s="12" t="n">
        <f aca="false">IF(F155="Fácil",10,IF(F155="Media",20,30))</f>
        <v>20</v>
      </c>
      <c r="K155" s="12" t="s">
        <v>330</v>
      </c>
    </row>
    <row r="156" customFormat="false" ht="15" hidden="false" customHeight="false" outlineLevel="0" collapsed="false">
      <c r="A156" s="11" t="s">
        <v>1010</v>
      </c>
      <c r="B156" s="11" t="s">
        <v>28</v>
      </c>
      <c r="C156" s="20" t="s">
        <v>1011</v>
      </c>
      <c r="D156" s="12" t="s">
        <v>535</v>
      </c>
      <c r="E156" s="20" t="s">
        <v>1012</v>
      </c>
      <c r="F156" s="12" t="s">
        <v>32</v>
      </c>
      <c r="G156" s="10" t="s">
        <v>219</v>
      </c>
      <c r="H156" s="11" t="str">
        <f aca="false">IF(G156="","",IFERROR(INDEX(Productos!$B:$B,MATCH(G156,Productos!$A:$A,0)),""))</f>
        <v>Bocadillo veleño</v>
      </c>
      <c r="I156" s="11" t="s">
        <v>554</v>
      </c>
      <c r="J156" s="12" t="n">
        <f aca="false">IF(F156="Fácil",10,IF(F156="Media",20,30))</f>
        <v>10</v>
      </c>
      <c r="K156" s="12" t="s">
        <v>330</v>
      </c>
    </row>
    <row r="157" customFormat="false" ht="23.85" hidden="false" customHeight="false" outlineLevel="0" collapsed="false">
      <c r="A157" s="11" t="s">
        <v>1013</v>
      </c>
      <c r="B157" s="11" t="s">
        <v>29</v>
      </c>
      <c r="C157" s="20" t="s">
        <v>1014</v>
      </c>
      <c r="D157" s="12" t="s">
        <v>535</v>
      </c>
      <c r="E157" s="20" t="s">
        <v>1015</v>
      </c>
      <c r="F157" s="12" t="s">
        <v>32</v>
      </c>
      <c r="G157" s="10"/>
      <c r="H157" s="11" t="str">
        <f aca="false">IF(G157="","",IFERROR(INDEX(Productos!$B:$B,MATCH(G157,Productos!$A:$A,0)),""))</f>
        <v/>
      </c>
      <c r="I157" s="11" t="s">
        <v>624</v>
      </c>
      <c r="J157" s="12" t="n">
        <f aca="false">IF(F157="Fácil",10,IF(F157="Media",20,30))</f>
        <v>10</v>
      </c>
      <c r="K157" s="12" t="s">
        <v>330</v>
      </c>
    </row>
    <row r="158" customFormat="false" ht="23.85" hidden="false" customHeight="false" outlineLevel="0" collapsed="false">
      <c r="A158" s="11" t="s">
        <v>1016</v>
      </c>
      <c r="B158" s="11" t="s">
        <v>24</v>
      </c>
      <c r="C158" s="20" t="s">
        <v>1017</v>
      </c>
      <c r="D158" s="12" t="s">
        <v>535</v>
      </c>
      <c r="E158" s="20" t="s">
        <v>1018</v>
      </c>
      <c r="F158" s="12" t="s">
        <v>32</v>
      </c>
      <c r="G158" s="10" t="s">
        <v>159</v>
      </c>
      <c r="H158" s="11" t="str">
        <f aca="false">IF(G158="","",IFERROR(INDEX(Productos!$B:$B,MATCH(G158,Productos!$A:$A,0)),""))</f>
        <v>Arroz blanco</v>
      </c>
      <c r="I158" s="11" t="s">
        <v>550</v>
      </c>
      <c r="J158" s="12" t="n">
        <f aca="false">IF(F158="Fácil",10,IF(F158="Media",20,30))</f>
        <v>10</v>
      </c>
      <c r="K158" s="12" t="s">
        <v>330</v>
      </c>
    </row>
    <row r="159" customFormat="false" ht="23.85" hidden="false" customHeight="false" outlineLevel="0" collapsed="false">
      <c r="A159" s="11" t="s">
        <v>1019</v>
      </c>
      <c r="B159" s="11" t="s">
        <v>28</v>
      </c>
      <c r="C159" s="20" t="s">
        <v>1020</v>
      </c>
      <c r="D159" s="12" t="s">
        <v>535</v>
      </c>
      <c r="E159" s="20" t="s">
        <v>1021</v>
      </c>
      <c r="F159" s="12" t="s">
        <v>32</v>
      </c>
      <c r="G159" s="10" t="s">
        <v>137</v>
      </c>
      <c r="H159" s="11" t="str">
        <f aca="false">IF(G159="","",IFERROR(INDEX(Productos!$B:$B,MATCH(G159,Productos!$A:$A,0)),""))</f>
        <v>Salchichas tipo Viena</v>
      </c>
      <c r="I159" s="11" t="s">
        <v>537</v>
      </c>
      <c r="J159" s="12" t="n">
        <f aca="false">IF(F159="Fácil",10,IF(F159="Media",20,30))</f>
        <v>10</v>
      </c>
      <c r="K159" s="12" t="s">
        <v>330</v>
      </c>
    </row>
    <row r="160" customFormat="false" ht="23.85" hidden="false" customHeight="false" outlineLevel="0" collapsed="false">
      <c r="A160" s="11" t="s">
        <v>1022</v>
      </c>
      <c r="B160" s="11" t="s">
        <v>24</v>
      </c>
      <c r="C160" s="20" t="s">
        <v>1023</v>
      </c>
      <c r="D160" s="12" t="s">
        <v>544</v>
      </c>
      <c r="E160" s="20" t="s">
        <v>1024</v>
      </c>
      <c r="F160" s="12" t="s">
        <v>32</v>
      </c>
      <c r="G160" s="10" t="s">
        <v>255</v>
      </c>
      <c r="H160" s="11" t="str">
        <f aca="false">IF(G160="","",IFERROR(INDEX(Productos!$B:$B,MATCH(G160,Productos!$A:$A,0)),""))</f>
        <v>Aguardiente tradicional</v>
      </c>
      <c r="I160" s="11" t="s">
        <v>550</v>
      </c>
      <c r="J160" s="12" t="n">
        <f aca="false">IF(F160="Fácil",10,IF(F160="Media",20,30))</f>
        <v>10</v>
      </c>
      <c r="K160" s="12" t="s">
        <v>330</v>
      </c>
    </row>
    <row r="161" customFormat="false" ht="15" hidden="false" customHeight="false" outlineLevel="0" collapsed="false">
      <c r="A161" s="11" t="s">
        <v>1025</v>
      </c>
      <c r="B161" s="11" t="s">
        <v>25</v>
      </c>
      <c r="C161" s="20" t="s">
        <v>1026</v>
      </c>
      <c r="D161" s="12" t="s">
        <v>535</v>
      </c>
      <c r="E161" s="20" t="s">
        <v>1027</v>
      </c>
      <c r="F161" s="12" t="s">
        <v>34</v>
      </c>
      <c r="G161" s="10" t="s">
        <v>292</v>
      </c>
      <c r="H161" s="11" t="str">
        <f aca="false">IF(G161="","",IFERROR(INDEX(Productos!$B:$B,MATCH(G161,Productos!$A:$A,0)),""))</f>
        <v>Galletas Saltín</v>
      </c>
      <c r="I161" s="11" t="s">
        <v>562</v>
      </c>
      <c r="J161" s="12" t="n">
        <f aca="false">IF(F161="Fácil",10,IF(F161="Media",20,30))</f>
        <v>30</v>
      </c>
      <c r="K161" s="12" t="s">
        <v>330</v>
      </c>
    </row>
    <row r="162" customFormat="false" ht="15" hidden="false" customHeight="false" outlineLevel="0" collapsed="false">
      <c r="A162" s="11" t="s">
        <v>1028</v>
      </c>
      <c r="B162" s="11" t="s">
        <v>25</v>
      </c>
      <c r="C162" s="20" t="s">
        <v>1029</v>
      </c>
      <c r="D162" s="12" t="s">
        <v>535</v>
      </c>
      <c r="E162" s="20" t="s">
        <v>1030</v>
      </c>
      <c r="F162" s="12" t="s">
        <v>34</v>
      </c>
      <c r="G162" s="10" t="s">
        <v>113</v>
      </c>
      <c r="H162" s="11" t="str">
        <f aca="false">IF(G162="","",IFERROR(INDEX(Productos!$B:$B,MATCH(G162,Productos!$A:$A,0)),""))</f>
        <v>Leche entera pasteurizada</v>
      </c>
      <c r="I162" s="11" t="s">
        <v>562</v>
      </c>
      <c r="J162" s="12" t="n">
        <f aca="false">IF(F162="Fácil",10,IF(F162="Media",20,30))</f>
        <v>30</v>
      </c>
      <c r="K162" s="12" t="s">
        <v>330</v>
      </c>
    </row>
    <row r="163" customFormat="false" ht="15" hidden="false" customHeight="false" outlineLevel="0" collapsed="false">
      <c r="A163" s="11" t="s">
        <v>1031</v>
      </c>
      <c r="B163" s="11" t="s">
        <v>25</v>
      </c>
      <c r="C163" s="20" t="s">
        <v>1032</v>
      </c>
      <c r="D163" s="12" t="s">
        <v>535</v>
      </c>
      <c r="E163" s="20" t="s">
        <v>1033</v>
      </c>
      <c r="F163" s="12" t="s">
        <v>34</v>
      </c>
      <c r="G163" s="10" t="s">
        <v>219</v>
      </c>
      <c r="H163" s="11" t="str">
        <f aca="false">IF(G163="","",IFERROR(INDEX(Productos!$B:$B,MATCH(G163,Productos!$A:$A,0)),""))</f>
        <v>Bocadillo veleño</v>
      </c>
      <c r="I163" s="11" t="s">
        <v>562</v>
      </c>
      <c r="J163" s="12" t="n">
        <f aca="false">IF(F163="Fácil",10,IF(F163="Media",20,30))</f>
        <v>30</v>
      </c>
      <c r="K163" s="12" t="s">
        <v>330</v>
      </c>
    </row>
    <row r="164" customFormat="false" ht="15" hidden="false" customHeight="false" outlineLevel="0" collapsed="false">
      <c r="A164" s="11" t="s">
        <v>1034</v>
      </c>
      <c r="B164" s="11" t="s">
        <v>29</v>
      </c>
      <c r="C164" s="20" t="s">
        <v>1035</v>
      </c>
      <c r="D164" s="12" t="s">
        <v>535</v>
      </c>
      <c r="E164" s="20" t="s">
        <v>1036</v>
      </c>
      <c r="F164" s="12" t="s">
        <v>33</v>
      </c>
      <c r="G164" s="10"/>
      <c r="H164" s="11" t="str">
        <f aca="false">IF(G164="","",IFERROR(INDEX(Productos!$B:$B,MATCH(G164,Productos!$A:$A,0)),""))</f>
        <v/>
      </c>
      <c r="I164" s="11" t="s">
        <v>573</v>
      </c>
      <c r="J164" s="12" t="n">
        <f aca="false">IF(F164="Fácil",10,IF(F164="Media",20,30))</f>
        <v>20</v>
      </c>
      <c r="K164" s="12" t="s">
        <v>330</v>
      </c>
    </row>
    <row r="165" customFormat="false" ht="15" hidden="false" customHeight="false" outlineLevel="0" collapsed="false">
      <c r="A165" s="11" t="s">
        <v>1037</v>
      </c>
      <c r="B165" s="11" t="s">
        <v>25</v>
      </c>
      <c r="C165" s="20" t="s">
        <v>1038</v>
      </c>
      <c r="D165" s="12" t="s">
        <v>535</v>
      </c>
      <c r="E165" s="20" t="s">
        <v>1039</v>
      </c>
      <c r="F165" s="12" t="s">
        <v>34</v>
      </c>
      <c r="G165" s="10" t="s">
        <v>130</v>
      </c>
      <c r="H165" s="11" t="str">
        <f aca="false">IF(G165="","",IFERROR(INDEX(Productos!$B:$B,MATCH(G165,Productos!$A:$A,0)),""))</f>
        <v>Queso campesino</v>
      </c>
      <c r="I165" s="11" t="s">
        <v>562</v>
      </c>
      <c r="J165" s="12" t="n">
        <f aca="false">IF(F165="Fácil",10,IF(F165="Media",20,30))</f>
        <v>30</v>
      </c>
      <c r="K165" s="12" t="s">
        <v>330</v>
      </c>
    </row>
    <row r="166" customFormat="false" ht="15" hidden="false" customHeight="false" outlineLevel="0" collapsed="false">
      <c r="A166" s="11" t="s">
        <v>1040</v>
      </c>
      <c r="B166" s="11" t="s">
        <v>25</v>
      </c>
      <c r="C166" s="20" t="s">
        <v>1041</v>
      </c>
      <c r="D166" s="12" t="s">
        <v>535</v>
      </c>
      <c r="E166" s="20" t="s">
        <v>1042</v>
      </c>
      <c r="F166" s="12" t="s">
        <v>34</v>
      </c>
      <c r="G166" s="10" t="s">
        <v>67</v>
      </c>
      <c r="H166" s="11" t="str">
        <f aca="false">IF(G166="","",IFERROR(INDEX(Productos!$B:$B,MATCH(G166,Productos!$A:$A,0)),""))</f>
        <v>Papa criolla lavada</v>
      </c>
      <c r="I166" s="11" t="s">
        <v>562</v>
      </c>
      <c r="J166" s="12" t="n">
        <f aca="false">IF(F166="Fácil",10,IF(F166="Media",20,30))</f>
        <v>30</v>
      </c>
      <c r="K166" s="12" t="s">
        <v>330</v>
      </c>
    </row>
    <row r="167" customFormat="false" ht="15" hidden="false" customHeight="false" outlineLevel="0" collapsed="false">
      <c r="A167" s="11" t="s">
        <v>1043</v>
      </c>
      <c r="B167" s="11" t="s">
        <v>25</v>
      </c>
      <c r="C167" s="20" t="s">
        <v>1044</v>
      </c>
      <c r="D167" s="12" t="s">
        <v>544</v>
      </c>
      <c r="E167" s="20" t="s">
        <v>1045</v>
      </c>
      <c r="F167" s="12" t="s">
        <v>34</v>
      </c>
      <c r="G167" s="10" t="s">
        <v>213</v>
      </c>
      <c r="H167" s="11" t="str">
        <f aca="false">IF(G167="","",IFERROR(INDEX(Productos!$B:$B,MATCH(G167,Productos!$A:$A,0)),""))</f>
        <v>Fríjol cargamanto</v>
      </c>
      <c r="I167" s="11" t="s">
        <v>562</v>
      </c>
      <c r="J167" s="12" t="n">
        <f aca="false">IF(F167="Fácil",10,IF(F167="Media",20,30))</f>
        <v>30</v>
      </c>
      <c r="K167" s="12" t="s">
        <v>330</v>
      </c>
    </row>
  </sheetData>
  <autoFilter ref="A1:K167"/>
  <conditionalFormatting sqref="D2:D167">
    <cfRule type="cellIs" priority="2" operator="equal" aboveAverage="0" equalAverage="0" bottom="0" percent="0" rank="0" text="" dxfId="10">
      <formula>"Verdadero"</formula>
    </cfRule>
    <cfRule type="cellIs" priority="3" operator="equal" aboveAverage="0" equalAverage="0" bottom="0" percent="0" rank="0" text="" dxfId="8">
      <formula>"Falso"</formula>
    </cfRule>
  </conditionalFormatting>
  <dataValidations count="3">
    <dataValidation allowBlank="false" errorStyle="stop" operator="between" showDropDown="false" showErrorMessage="false" showInputMessage="false" sqref="D2:D167" type="list">
      <formula1>"Verdadero,Falso"</formula1>
      <formula2>0</formula2>
    </dataValidation>
    <dataValidation allowBlank="false" errorStyle="stop" operator="between" showDropDown="false" showErrorMessage="false" showInputMessage="false" sqref="F2:F167" type="list">
      <formula1>"Fácil,Media,Difícil"</formula1>
      <formula2>0</formula2>
    </dataValidation>
    <dataValidation allowBlank="false" errorStyle="stop" operator="between" showDropDown="false" showErrorMessage="false" showInputMessage="false" sqref="K2:K167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2026-10-13T03:26:41Z</dcterms:created>
  <dc:creator>openpyxl</dc:creator>
  <dc:description/>
  <dc:language>en-US</dc:language>
  <cp:lastModifiedBy/>
  <dcterms:modified xsi:type="dcterms:W3CDTF">2026-10-13T03:26:42Z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